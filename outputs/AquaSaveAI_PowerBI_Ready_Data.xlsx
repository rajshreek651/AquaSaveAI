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a7d42631a24a6dc/Desktop/Necessities/Internships/1M1B/AquaSaveAI/outputs/"/>
    </mc:Choice>
  </mc:AlternateContent>
  <xr:revisionPtr revIDLastSave="6" documentId="11_0ED504AC081E70E74B492C59B33BF40DEB11479B" xr6:coauthVersionLast="47" xr6:coauthVersionMax="47" xr10:uidLastSave="{EDDFC710-2B95-4FEF-B54E-6729B713140A}"/>
  <bookViews>
    <workbookView xWindow="1680" yWindow="3276" windowWidth="17280" windowHeight="8964" xr2:uid="{00000000-000D-0000-FFFF-FFFF00000000}"/>
  </bookViews>
  <sheets>
    <sheet name="Dashboard" sheetId="1" r:id="rId1"/>
    <sheet name="Water Usage" sheetId="2" r:id="rId2"/>
    <sheet name="Daily Summary" sheetId="3" r:id="rId3"/>
    <sheet name="Source Summary" sheetId="4" r:id="rId4"/>
    <sheet name="Alerts" sheetId="5" r:id="rId5"/>
    <sheet name="Impact Calculations" sheetId="6" r:id="rId6"/>
    <sheet name="Power BI Gui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6" l="1"/>
  <c r="D4" i="1"/>
  <c r="A4" i="1"/>
  <c r="B11" i="6" l="1"/>
  <c r="B12" i="6" s="1"/>
  <c r="J4" i="1" s="1"/>
  <c r="B10" i="6"/>
  <c r="G4" i="1"/>
</calcChain>
</file>

<file path=xl/sharedStrings.xml><?xml version="1.0" encoding="utf-8"?>
<sst xmlns="http://schemas.openxmlformats.org/spreadsheetml/2006/main" count="1428" uniqueCount="418">
  <si>
    <t>AquaSave AI | Water Wastage Dashboard</t>
  </si>
  <si>
    <t>Simulation-based monitoring for a four-person household | SDG 6: Clean Water and Sanitation</t>
  </si>
  <si>
    <t>Total monitored use</t>
  </si>
  <si>
    <t>Potential waste detected</t>
  </si>
  <si>
    <t>Projected monthly saving (L)</t>
  </si>
  <si>
    <t>Projected monthly CO2 avoided (kg)</t>
  </si>
  <si>
    <t>Timestamp</t>
  </si>
  <si>
    <t>Date</t>
  </si>
  <si>
    <t>Hour</t>
  </si>
  <si>
    <t>Litres Used</t>
  </si>
  <si>
    <t>Primary Source</t>
  </si>
  <si>
    <t>Event Label</t>
  </si>
  <si>
    <t>Occupants</t>
  </si>
  <si>
    <t>2026-07-01 00:00</t>
  </si>
  <si>
    <t>2026-07-01</t>
  </si>
  <si>
    <t>Background use</t>
  </si>
  <si>
    <t>Normal</t>
  </si>
  <si>
    <t>2026-07-01 01:00</t>
  </si>
  <si>
    <t>2026-07-01 02:00</t>
  </si>
  <si>
    <t>2026-07-01 03:00</t>
  </si>
  <si>
    <t>2026-07-01 04:00</t>
  </si>
  <si>
    <t>2026-07-01 05:00</t>
  </si>
  <si>
    <t>2026-07-01 06:00</t>
  </si>
  <si>
    <t>Bathroom</t>
  </si>
  <si>
    <t>2026-07-01 07:00</t>
  </si>
  <si>
    <t>2026-07-01 08:00</t>
  </si>
  <si>
    <t>2026-07-01 09:00</t>
  </si>
  <si>
    <t>2026-07-01 10:00</t>
  </si>
  <si>
    <t>2026-07-01 11:00</t>
  </si>
  <si>
    <t>2026-07-01 12:00</t>
  </si>
  <si>
    <t>2026-07-01 13:00</t>
  </si>
  <si>
    <t>Kitchen</t>
  </si>
  <si>
    <t>2026-07-01 14:00</t>
  </si>
  <si>
    <t>2026-07-01 15:00</t>
  </si>
  <si>
    <t>2026-07-01 16:00</t>
  </si>
  <si>
    <t>2026-07-01 17:00</t>
  </si>
  <si>
    <t>Garden</t>
  </si>
  <si>
    <t>2026-07-01 18:00</t>
  </si>
  <si>
    <t>2026-07-01 19:00</t>
  </si>
  <si>
    <t>Kitchen/Bathroom</t>
  </si>
  <si>
    <t>2026-07-01 20:00</t>
  </si>
  <si>
    <t>2026-07-01 21:00</t>
  </si>
  <si>
    <t>2026-07-01 22:00</t>
  </si>
  <si>
    <t>2026-07-01 23:00</t>
  </si>
  <si>
    <t>2026-07-02 00:00</t>
  </si>
  <si>
    <t>2026-07-02</t>
  </si>
  <si>
    <t>2026-07-02 01:00</t>
  </si>
  <si>
    <t>2026-07-02 02:00</t>
  </si>
  <si>
    <t>2026-07-02 03:00</t>
  </si>
  <si>
    <t>2026-07-02 04:00</t>
  </si>
  <si>
    <t>2026-07-02 05:00</t>
  </si>
  <si>
    <t>2026-07-02 06:00</t>
  </si>
  <si>
    <t>2026-07-02 07:00</t>
  </si>
  <si>
    <t>2026-07-02 08:00</t>
  </si>
  <si>
    <t>2026-07-02 09:00</t>
  </si>
  <si>
    <t>2026-07-02 10:00</t>
  </si>
  <si>
    <t>2026-07-02 11:00</t>
  </si>
  <si>
    <t>2026-07-02 12:00</t>
  </si>
  <si>
    <t>2026-07-02 13:00</t>
  </si>
  <si>
    <t>2026-07-02 14:00</t>
  </si>
  <si>
    <t>2026-07-02 15:00</t>
  </si>
  <si>
    <t>2026-07-02 16:00</t>
  </si>
  <si>
    <t>2026-07-02 17:00</t>
  </si>
  <si>
    <t>2026-07-02 18:00</t>
  </si>
  <si>
    <t>2026-07-02 19:00</t>
  </si>
  <si>
    <t>2026-07-02 20:00</t>
  </si>
  <si>
    <t>2026-07-02 21:00</t>
  </si>
  <si>
    <t>2026-07-02 22:00</t>
  </si>
  <si>
    <t>2026-07-02 23:00</t>
  </si>
  <si>
    <t>2026-07-03 00:00</t>
  </si>
  <si>
    <t>2026-07-03</t>
  </si>
  <si>
    <t>2026-07-03 01:00</t>
  </si>
  <si>
    <t>2026-07-03 02:00</t>
  </si>
  <si>
    <t>2026-07-03 03:00</t>
  </si>
  <si>
    <t>2026-07-03 04:00</t>
  </si>
  <si>
    <t>2026-07-03 05:00</t>
  </si>
  <si>
    <t>2026-07-03 06:00</t>
  </si>
  <si>
    <t>2026-07-03 07:00</t>
  </si>
  <si>
    <t>2026-07-03 08:00</t>
  </si>
  <si>
    <t>2026-07-03 09:00</t>
  </si>
  <si>
    <t>2026-07-03 10:00</t>
  </si>
  <si>
    <t>2026-07-03 11:00</t>
  </si>
  <si>
    <t>2026-07-03 12:00</t>
  </si>
  <si>
    <t>2026-07-03 13:00</t>
  </si>
  <si>
    <t>2026-07-03 14:00</t>
  </si>
  <si>
    <t>2026-07-03 15:00</t>
  </si>
  <si>
    <t>2026-07-03 16:00</t>
  </si>
  <si>
    <t>2026-07-03 17:00</t>
  </si>
  <si>
    <t>2026-07-03 18:00</t>
  </si>
  <si>
    <t>2026-07-03 19:00</t>
  </si>
  <si>
    <t>2026-07-03 20:00</t>
  </si>
  <si>
    <t>2026-07-03 21:00</t>
  </si>
  <si>
    <t>2026-07-03 22:00</t>
  </si>
  <si>
    <t>2026-07-03 23:00</t>
  </si>
  <si>
    <t>2026-07-04 00:00</t>
  </si>
  <si>
    <t>2026-07-04</t>
  </si>
  <si>
    <t>2026-07-04 01:00</t>
  </si>
  <si>
    <t>2026-07-04 02:00</t>
  </si>
  <si>
    <t>2026-07-04 03:00</t>
  </si>
  <si>
    <t>2026-07-04 04:00</t>
  </si>
  <si>
    <t>2026-07-04 05:00</t>
  </si>
  <si>
    <t>2026-07-04 06:00</t>
  </si>
  <si>
    <t>2026-07-04 07:00</t>
  </si>
  <si>
    <t>2026-07-04 08:00</t>
  </si>
  <si>
    <t>2026-07-04 09:00</t>
  </si>
  <si>
    <t>2026-07-04 10:00</t>
  </si>
  <si>
    <t>Laundry</t>
  </si>
  <si>
    <t>2026-07-04 11:00</t>
  </si>
  <si>
    <t>2026-07-04 12:00</t>
  </si>
  <si>
    <t>2026-07-04 13:00</t>
  </si>
  <si>
    <t>2026-07-04 14:00</t>
  </si>
  <si>
    <t>2026-07-04 15:00</t>
  </si>
  <si>
    <t>2026-07-04 16:00</t>
  </si>
  <si>
    <t>2026-07-04 17:00</t>
  </si>
  <si>
    <t>2026-07-04 18:00</t>
  </si>
  <si>
    <t>2026-07-04 19:00</t>
  </si>
  <si>
    <t>2026-07-04 20:00</t>
  </si>
  <si>
    <t>2026-07-04 21:00</t>
  </si>
  <si>
    <t>2026-07-04 22:00</t>
  </si>
  <si>
    <t>2026-07-04 23:00</t>
  </si>
  <si>
    <t>2026-07-05 00:00</t>
  </si>
  <si>
    <t>2026-07-05</t>
  </si>
  <si>
    <t>2026-07-05 01:00</t>
  </si>
  <si>
    <t>2026-07-05 02:00</t>
  </si>
  <si>
    <t>2026-07-05 03:00</t>
  </si>
  <si>
    <t>2026-07-05 04:00</t>
  </si>
  <si>
    <t>2026-07-05 05:00</t>
  </si>
  <si>
    <t>2026-07-05 06:00</t>
  </si>
  <si>
    <t>2026-07-05 07:00</t>
  </si>
  <si>
    <t>2026-07-05 08:00</t>
  </si>
  <si>
    <t>2026-07-05 09:00</t>
  </si>
  <si>
    <t>2026-07-05 10:00</t>
  </si>
  <si>
    <t>2026-07-05 11:00</t>
  </si>
  <si>
    <t>2026-07-05 12:00</t>
  </si>
  <si>
    <t>2026-07-05 13:00</t>
  </si>
  <si>
    <t>2026-07-05 14:00</t>
  </si>
  <si>
    <t>2026-07-05 15:00</t>
  </si>
  <si>
    <t>2026-07-05 16:00</t>
  </si>
  <si>
    <t>2026-07-05 17:00</t>
  </si>
  <si>
    <t>2026-07-05 18:00</t>
  </si>
  <si>
    <t>2026-07-05 19:00</t>
  </si>
  <si>
    <t>2026-07-05 20:00</t>
  </si>
  <si>
    <t>2026-07-05 21:00</t>
  </si>
  <si>
    <t>2026-07-05 22:00</t>
  </si>
  <si>
    <t>2026-07-05 23:00</t>
  </si>
  <si>
    <t>2026-07-06 00:00</t>
  </si>
  <si>
    <t>2026-07-06</t>
  </si>
  <si>
    <t>Possible tap/toilet leak</t>
  </si>
  <si>
    <t>Simulated overnight leak</t>
  </si>
  <si>
    <t>2026-07-06 01:00</t>
  </si>
  <si>
    <t>2026-07-06 02:00</t>
  </si>
  <si>
    <t>2026-07-06 03:00</t>
  </si>
  <si>
    <t>2026-07-06 04:00</t>
  </si>
  <si>
    <t>2026-07-06 05:00</t>
  </si>
  <si>
    <t>2026-07-06 06:00</t>
  </si>
  <si>
    <t>2026-07-06 07:00</t>
  </si>
  <si>
    <t>2026-07-06 08:00</t>
  </si>
  <si>
    <t>2026-07-06 09:00</t>
  </si>
  <si>
    <t>2026-07-06 10:00</t>
  </si>
  <si>
    <t>2026-07-06 11:00</t>
  </si>
  <si>
    <t>2026-07-06 12:00</t>
  </si>
  <si>
    <t>2026-07-06 13:00</t>
  </si>
  <si>
    <t>2026-07-06 14:00</t>
  </si>
  <si>
    <t>2026-07-06 15:00</t>
  </si>
  <si>
    <t>2026-07-06 16:00</t>
  </si>
  <si>
    <t>2026-07-06 17:00</t>
  </si>
  <si>
    <t>2026-07-06 18:00</t>
  </si>
  <si>
    <t>2026-07-06 19:00</t>
  </si>
  <si>
    <t>2026-07-06 20:00</t>
  </si>
  <si>
    <t>2026-07-06 21:00</t>
  </si>
  <si>
    <t>2026-07-06 22:00</t>
  </si>
  <si>
    <t>2026-07-06 23:00</t>
  </si>
  <si>
    <t>2026-07-07 00:00</t>
  </si>
  <si>
    <t>2026-07-07</t>
  </si>
  <si>
    <t>2026-07-07 01:00</t>
  </si>
  <si>
    <t>2026-07-07 02:00</t>
  </si>
  <si>
    <t>2026-07-07 03:00</t>
  </si>
  <si>
    <t>2026-07-07 04:00</t>
  </si>
  <si>
    <t>2026-07-07 05:00</t>
  </si>
  <si>
    <t>2026-07-07 06:00</t>
  </si>
  <si>
    <t>2026-07-07 07:00</t>
  </si>
  <si>
    <t>2026-07-07 08:00</t>
  </si>
  <si>
    <t>2026-07-07 09:00</t>
  </si>
  <si>
    <t>2026-07-07 10:00</t>
  </si>
  <si>
    <t>2026-07-07 11:00</t>
  </si>
  <si>
    <t>2026-07-07 12:00</t>
  </si>
  <si>
    <t>2026-07-07 13:00</t>
  </si>
  <si>
    <t>2026-07-07 14:00</t>
  </si>
  <si>
    <t>2026-07-07 15:00</t>
  </si>
  <si>
    <t>2026-07-07 16:00</t>
  </si>
  <si>
    <t>2026-07-07 17:00</t>
  </si>
  <si>
    <t>2026-07-07 18:00</t>
  </si>
  <si>
    <t>2026-07-07 19:00</t>
  </si>
  <si>
    <t>2026-07-07 20:00</t>
  </si>
  <si>
    <t>2026-07-07 21:00</t>
  </si>
  <si>
    <t>2026-07-07 22:00</t>
  </si>
  <si>
    <t>2026-07-07 23:00</t>
  </si>
  <si>
    <t>2026-07-08 00:00</t>
  </si>
  <si>
    <t>2026-07-08</t>
  </si>
  <si>
    <t>2026-07-08 01:00</t>
  </si>
  <si>
    <t>2026-07-08 02:00</t>
  </si>
  <si>
    <t>2026-07-08 03:00</t>
  </si>
  <si>
    <t>2026-07-08 04:00</t>
  </si>
  <si>
    <t>2026-07-08 05:00</t>
  </si>
  <si>
    <t>2026-07-08 06:00</t>
  </si>
  <si>
    <t>2026-07-08 07:00</t>
  </si>
  <si>
    <t>2026-07-08 08:00</t>
  </si>
  <si>
    <t>2026-07-08 09:00</t>
  </si>
  <si>
    <t>2026-07-08 10:00</t>
  </si>
  <si>
    <t>2026-07-08 11:00</t>
  </si>
  <si>
    <t>2026-07-08 12:00</t>
  </si>
  <si>
    <t>2026-07-08 13:00</t>
  </si>
  <si>
    <t>2026-07-08 14:00</t>
  </si>
  <si>
    <t>2026-07-08 15:00</t>
  </si>
  <si>
    <t>2026-07-08 16:00</t>
  </si>
  <si>
    <t>2026-07-08 17:00</t>
  </si>
  <si>
    <t>2026-07-08 18:00</t>
  </si>
  <si>
    <t>2026-07-08 19:00</t>
  </si>
  <si>
    <t>2026-07-08 20:00</t>
  </si>
  <si>
    <t>2026-07-08 21:00</t>
  </si>
  <si>
    <t>2026-07-08 22:00</t>
  </si>
  <si>
    <t>2026-07-08 23:00</t>
  </si>
  <si>
    <t>2026-07-09 00:00</t>
  </si>
  <si>
    <t>2026-07-09</t>
  </si>
  <si>
    <t>2026-07-09 01:00</t>
  </si>
  <si>
    <t>2026-07-09 02:00</t>
  </si>
  <si>
    <t>2026-07-09 03:00</t>
  </si>
  <si>
    <t>2026-07-09 04:00</t>
  </si>
  <si>
    <t>2026-07-09 05:00</t>
  </si>
  <si>
    <t>2026-07-09 06:00</t>
  </si>
  <si>
    <t>2026-07-09 07:00</t>
  </si>
  <si>
    <t>2026-07-09 08:00</t>
  </si>
  <si>
    <t>2026-07-09 09:00</t>
  </si>
  <si>
    <t>2026-07-09 10:00</t>
  </si>
  <si>
    <t>2026-07-09 11:00</t>
  </si>
  <si>
    <t>2026-07-09 12:00</t>
  </si>
  <si>
    <t>2026-07-09 13:00</t>
  </si>
  <si>
    <t>2026-07-09 14:00</t>
  </si>
  <si>
    <t>2026-07-09 15:00</t>
  </si>
  <si>
    <t>2026-07-09 16:00</t>
  </si>
  <si>
    <t>2026-07-09 17:00</t>
  </si>
  <si>
    <t>2026-07-09 18:00</t>
  </si>
  <si>
    <t>2026-07-09 19:00</t>
  </si>
  <si>
    <t>2026-07-09 20:00</t>
  </si>
  <si>
    <t>2026-07-09 21:00</t>
  </si>
  <si>
    <t>2026-07-09 22:00</t>
  </si>
  <si>
    <t>2026-07-09 23:00</t>
  </si>
  <si>
    <t>2026-07-10 00:00</t>
  </si>
  <si>
    <t>2026-07-10</t>
  </si>
  <si>
    <t>2026-07-10 01:00</t>
  </si>
  <si>
    <t>2026-07-10 02:00</t>
  </si>
  <si>
    <t>2026-07-10 03:00</t>
  </si>
  <si>
    <t>2026-07-10 04:00</t>
  </si>
  <si>
    <t>2026-07-10 05:00</t>
  </si>
  <si>
    <t>2026-07-10 06:00</t>
  </si>
  <si>
    <t>2026-07-10 07:00</t>
  </si>
  <si>
    <t>2026-07-10 08:00</t>
  </si>
  <si>
    <t>2026-07-10 09:00</t>
  </si>
  <si>
    <t>2026-07-10 10:00</t>
  </si>
  <si>
    <t>2026-07-10 11:00</t>
  </si>
  <si>
    <t>2026-07-10 12:00</t>
  </si>
  <si>
    <t>2026-07-10 13:00</t>
  </si>
  <si>
    <t>2026-07-10 14:00</t>
  </si>
  <si>
    <t>2026-07-10 15:00</t>
  </si>
  <si>
    <t>2026-07-10 16:00</t>
  </si>
  <si>
    <t>2026-07-10 17:00</t>
  </si>
  <si>
    <t>2026-07-10 18:00</t>
  </si>
  <si>
    <t>Simulated high garden use</t>
  </si>
  <si>
    <t>2026-07-10 19:00</t>
  </si>
  <si>
    <t>2026-07-10 20:00</t>
  </si>
  <si>
    <t>2026-07-10 21:00</t>
  </si>
  <si>
    <t>2026-07-10 22:00</t>
  </si>
  <si>
    <t>2026-07-10 23:00</t>
  </si>
  <si>
    <t>2026-07-11 00:00</t>
  </si>
  <si>
    <t>2026-07-11</t>
  </si>
  <si>
    <t>2026-07-11 01:00</t>
  </si>
  <si>
    <t>2026-07-11 02:00</t>
  </si>
  <si>
    <t>2026-07-11 03:00</t>
  </si>
  <si>
    <t>2026-07-11 04:00</t>
  </si>
  <si>
    <t>2026-07-11 05:00</t>
  </si>
  <si>
    <t>2026-07-11 06:00</t>
  </si>
  <si>
    <t>2026-07-11 07:00</t>
  </si>
  <si>
    <t>2026-07-11 08:00</t>
  </si>
  <si>
    <t>2026-07-11 09:00</t>
  </si>
  <si>
    <t>2026-07-11 10:00</t>
  </si>
  <si>
    <t>2026-07-11 11:00</t>
  </si>
  <si>
    <t>2026-07-11 12:00</t>
  </si>
  <si>
    <t>2026-07-11 13:00</t>
  </si>
  <si>
    <t>2026-07-11 14:00</t>
  </si>
  <si>
    <t>2026-07-11 15:00</t>
  </si>
  <si>
    <t>2026-07-11 16:00</t>
  </si>
  <si>
    <t>2026-07-11 17:00</t>
  </si>
  <si>
    <t>2026-07-11 18:00</t>
  </si>
  <si>
    <t>2026-07-11 19:00</t>
  </si>
  <si>
    <t>2026-07-11 20:00</t>
  </si>
  <si>
    <t>2026-07-11 21:00</t>
  </si>
  <si>
    <t>2026-07-11 22:00</t>
  </si>
  <si>
    <t>2026-07-11 23:00</t>
  </si>
  <si>
    <t>2026-07-12 00:00</t>
  </si>
  <si>
    <t>2026-07-12</t>
  </si>
  <si>
    <t>2026-07-12 01:00</t>
  </si>
  <si>
    <t>2026-07-12 02:00</t>
  </si>
  <si>
    <t>2026-07-12 03:00</t>
  </si>
  <si>
    <t>2026-07-12 04:00</t>
  </si>
  <si>
    <t>2026-07-12 05:00</t>
  </si>
  <si>
    <t>2026-07-12 06:00</t>
  </si>
  <si>
    <t>2026-07-12 07:00</t>
  </si>
  <si>
    <t>2026-07-12 08:00</t>
  </si>
  <si>
    <t>2026-07-12 09:00</t>
  </si>
  <si>
    <t>2026-07-12 10:00</t>
  </si>
  <si>
    <t>2026-07-12 11:00</t>
  </si>
  <si>
    <t>2026-07-12 12:00</t>
  </si>
  <si>
    <t>2026-07-12 13:00</t>
  </si>
  <si>
    <t>2026-07-12 14:00</t>
  </si>
  <si>
    <t>2026-07-12 15:00</t>
  </si>
  <si>
    <t>2026-07-12 16:00</t>
  </si>
  <si>
    <t>2026-07-12 17:00</t>
  </si>
  <si>
    <t>2026-07-12 18:00</t>
  </si>
  <si>
    <t>2026-07-12 19:00</t>
  </si>
  <si>
    <t>2026-07-12 20:00</t>
  </si>
  <si>
    <t>2026-07-12 21:00</t>
  </si>
  <si>
    <t>2026-07-12 22:00</t>
  </si>
  <si>
    <t>2026-07-12 23:00</t>
  </si>
  <si>
    <t>2026-07-13 00:00</t>
  </si>
  <si>
    <t>2026-07-13</t>
  </si>
  <si>
    <t>2026-07-13 01:00</t>
  </si>
  <si>
    <t>2026-07-13 02:00</t>
  </si>
  <si>
    <t>2026-07-13 03:00</t>
  </si>
  <si>
    <t>2026-07-13 04:00</t>
  </si>
  <si>
    <t>2026-07-13 05:00</t>
  </si>
  <si>
    <t>2026-07-13 06:00</t>
  </si>
  <si>
    <t>2026-07-13 07:00</t>
  </si>
  <si>
    <t>2026-07-13 08:00</t>
  </si>
  <si>
    <t>2026-07-13 09:00</t>
  </si>
  <si>
    <t>2026-07-13 10:00</t>
  </si>
  <si>
    <t>2026-07-13 11:00</t>
  </si>
  <si>
    <t>2026-07-13 12:00</t>
  </si>
  <si>
    <t>2026-07-13 13:00</t>
  </si>
  <si>
    <t>2026-07-13 14:00</t>
  </si>
  <si>
    <t>2026-07-13 15:00</t>
  </si>
  <si>
    <t>2026-07-13 16:00</t>
  </si>
  <si>
    <t>2026-07-13 17:00</t>
  </si>
  <si>
    <t>2026-07-13 18:00</t>
  </si>
  <si>
    <t>2026-07-13 19:00</t>
  </si>
  <si>
    <t>2026-07-13 20:00</t>
  </si>
  <si>
    <t>2026-07-13 21:00</t>
  </si>
  <si>
    <t>2026-07-13 22:00</t>
  </si>
  <si>
    <t>2026-07-13 23:00</t>
  </si>
  <si>
    <t>2026-07-14 00:00</t>
  </si>
  <si>
    <t>2026-07-14</t>
  </si>
  <si>
    <t>2026-07-14 01:00</t>
  </si>
  <si>
    <t>2026-07-14 02:00</t>
  </si>
  <si>
    <t>2026-07-14 03:00</t>
  </si>
  <si>
    <t>2026-07-14 04:00</t>
  </si>
  <si>
    <t>2026-07-14 05:00</t>
  </si>
  <si>
    <t>2026-07-14 06:00</t>
  </si>
  <si>
    <t>2026-07-14 07:00</t>
  </si>
  <si>
    <t>2026-07-14 08:00</t>
  </si>
  <si>
    <t>2026-07-14 09:00</t>
  </si>
  <si>
    <t>2026-07-14 10:00</t>
  </si>
  <si>
    <t>2026-07-14 11:00</t>
  </si>
  <si>
    <t>2026-07-14 12:00</t>
  </si>
  <si>
    <t>2026-07-14 13:00</t>
  </si>
  <si>
    <t>2026-07-14 14:00</t>
  </si>
  <si>
    <t>2026-07-14 15:00</t>
  </si>
  <si>
    <t>2026-07-14 16:00</t>
  </si>
  <si>
    <t>2026-07-14 17:00</t>
  </si>
  <si>
    <t>2026-07-14 18:00</t>
  </si>
  <si>
    <t>2026-07-14 19:00</t>
  </si>
  <si>
    <t>2026-07-14 20:00</t>
  </si>
  <si>
    <t>2026-07-14 21:00</t>
  </si>
  <si>
    <t>2026-07-14 22:00</t>
  </si>
  <si>
    <t>2026-07-14 23:00</t>
  </si>
  <si>
    <t>Total Litres</t>
  </si>
  <si>
    <t>Alert Type</t>
  </si>
  <si>
    <t>Severity</t>
  </si>
  <si>
    <t>Period</t>
  </si>
  <si>
    <t>Potential Waste (L)</t>
  </si>
  <si>
    <t>Detection Rule</t>
  </si>
  <si>
    <t>Recommended Action</t>
  </si>
  <si>
    <t>Possible continuous leak</t>
  </si>
  <si>
    <t>High</t>
  </si>
  <si>
    <t>2026-07-06 00:00 to 2026-07-06 05:00</t>
  </si>
  <si>
    <t>At least 3 overnight readings were above 8 L/hour.</t>
  </si>
  <si>
    <t>Inspect toilet flush tanks, taps, and concealed pipe connections.</t>
  </si>
  <si>
    <t>Unusually high one-hour use</t>
  </si>
  <si>
    <t>Medium</t>
  </si>
  <si>
    <t>Usage exceeded its normal 18:00 threshold of 109.0 L/hour.</t>
  </si>
  <si>
    <t>Check garden watering, washing cycles, and any tap left running.</t>
  </si>
  <si>
    <t>Assumption</t>
  </si>
  <si>
    <t>Value</t>
  </si>
  <si>
    <t>Monitoring period (days)</t>
  </si>
  <si>
    <t>Water tariff (Rs per litre)</t>
  </si>
  <si>
    <t>Pumping energy (kWh per 1,000 L)</t>
  </si>
  <si>
    <t>Electricity emission factor (kg CO2 per kWh)</t>
  </si>
  <si>
    <t>Detected potential waste in monitoring period (L)</t>
  </si>
  <si>
    <t>Total monitored water use in period (L)</t>
  </si>
  <si>
    <t>Projection</t>
  </si>
  <si>
    <t>Result</t>
  </si>
  <si>
    <t>Projected monthly water saving (L)</t>
  </si>
  <si>
    <t>Projected monthly cost saving (Rs)</t>
  </si>
  <si>
    <t>Projected monthly pumping energy avoided (kWh)</t>
  </si>
  <si>
    <t>Power BI build step</t>
  </si>
  <si>
    <t>Instruction</t>
  </si>
  <si>
    <t>1. Import</t>
  </si>
  <si>
    <t>Open Power BI Desktop &gt; Get Data &gt; Excel workbook &gt; select this file.</t>
  </si>
  <si>
    <t>2. Load tables</t>
  </si>
  <si>
    <t>Load Water Usage, Daily Summary, Source Summary, Alerts, and Impact Calculations.</t>
  </si>
  <si>
    <t>3. KPI cards</t>
  </si>
  <si>
    <t>Use Sum of Total Litres, Sum of Potential Waste (L), and the projected values from Impact Calculations.</t>
  </si>
  <si>
    <t>4. Trend visual</t>
  </si>
  <si>
    <t>Line chart: Daily Summary[Date] on X-axis; Daily Summary[Total Litres] on Y-axis.</t>
  </si>
  <si>
    <t>5. Source visual</t>
  </si>
  <si>
    <t>Donut chart: Source Summary[Primary Source] as legend; Sum of Total Litres as values.</t>
  </si>
  <si>
    <t>6. Alert table</t>
  </si>
  <si>
    <t>Table: Alert Type, Severity, Period, Potential Waste (L), Recommended Action. Apply conditional colour to Severity.</t>
  </si>
  <si>
    <t>7. Story</t>
  </si>
  <si>
    <t>Add a text box: '79.06 L potential waste detected in 14 days. Repairing the leak and reviewing garden use can prevent repeat waste.'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</si>
</sst>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60767B"/>
      <name val="Carlito"/>
    </font>
    <font>
      <b/>
      <sz val="15"/>
      <color rgb="FF063B49"/>
      <name val="Carlito"/>
    </font>
    <font>
      <sz val="11"/>
      <color rgb="FF60767B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063B49"/>
      </patternFill>
    </fill>
    <fill>
      <patternFill patternType="solid">
        <fgColor rgb="FFD9F5ED"/>
      </patternFill>
    </fill>
    <fill>
      <patternFill patternType="solid">
        <fgColor rgb="FFF2F7F6"/>
      </patternFill>
    </fill>
  </fills>
  <borders count="10">
    <border>
      <left/>
      <right/>
      <top/>
      <bottom/>
      <diagonal/>
    </border>
    <border>
      <left style="thin">
        <color rgb="FF91CFC0"/>
      </left>
      <right/>
      <top style="thin">
        <color rgb="FF91CFC0"/>
      </top>
      <bottom/>
      <diagonal/>
    </border>
    <border>
      <left/>
      <right/>
      <top style="thin">
        <color rgb="FF91CFC0"/>
      </top>
      <bottom/>
      <diagonal/>
    </border>
    <border>
      <left/>
      <right style="thin">
        <color rgb="FF91CFC0"/>
      </right>
      <top style="thin">
        <color rgb="FF91CFC0"/>
      </top>
      <bottom/>
      <diagonal/>
    </border>
    <border>
      <left style="thin">
        <color rgb="FF91CFC0"/>
      </left>
      <right/>
      <top/>
      <bottom style="thin">
        <color rgb="FF91CFC0"/>
      </bottom>
      <diagonal/>
    </border>
    <border>
      <left/>
      <right/>
      <top/>
      <bottom style="thin">
        <color rgb="FF91CFC0"/>
      </bottom>
      <diagonal/>
    </border>
    <border>
      <left/>
      <right style="thin">
        <color rgb="FF91CFC0"/>
      </right>
      <top/>
      <bottom style="thin">
        <color rgb="FF91CFC0"/>
      </bottom>
      <diagonal/>
    </border>
    <border>
      <left style="thin">
        <color rgb="FFD9E9E5"/>
      </left>
      <right/>
      <top style="thin">
        <color rgb="FFD9E9E5"/>
      </top>
      <bottom style="thin">
        <color rgb="FFD9E9E5"/>
      </bottom>
      <diagonal/>
    </border>
    <border>
      <left/>
      <right/>
      <top style="thin">
        <color rgb="FFD9E9E5"/>
      </top>
      <bottom style="thin">
        <color rgb="FFD9E9E5"/>
      </bottom>
      <diagonal/>
    </border>
    <border>
      <left/>
      <right style="thin">
        <color rgb="FFD9E9E5"/>
      </right>
      <top style="thin">
        <color rgb="FFD9E9E5"/>
      </top>
      <bottom style="thin">
        <color rgb="FFD9E9E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4" fontId="4" fillId="4" borderId="1" xfId="0" applyNumberFormat="1" applyFont="1" applyFill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center" vertical="center"/>
    </xf>
    <xf numFmtId="4" fontId="4" fillId="4" borderId="3" xfId="0" applyNumberFormat="1" applyFont="1" applyFill="1" applyBorder="1" applyAlignment="1">
      <alignment horizontal="center" vertical="center"/>
    </xf>
    <xf numFmtId="4" fontId="4" fillId="4" borderId="4" xfId="0" applyNumberFormat="1" applyFont="1" applyFill="1" applyBorder="1" applyAlignment="1">
      <alignment horizontal="center" vertical="center"/>
    </xf>
    <xf numFmtId="4" fontId="4" fillId="4" borderId="5" xfId="0" applyNumberFormat="1" applyFont="1" applyFill="1" applyBorder="1" applyAlignment="1">
      <alignment horizontal="center" vertical="center"/>
    </xf>
    <xf numFmtId="4" fontId="4" fillId="4" borderId="6" xfId="0" applyNumberFormat="1" applyFont="1" applyFill="1" applyBorder="1" applyAlignment="1">
      <alignment horizontal="center" vertical="center"/>
    </xf>
    <xf numFmtId="4" fontId="5" fillId="5" borderId="7" xfId="0" applyNumberFormat="1" applyFont="1" applyFill="1" applyBorder="1" applyAlignment="1">
      <alignment horizontal="center" vertical="center"/>
    </xf>
    <xf numFmtId="4" fontId="5" fillId="5" borderId="8" xfId="0" applyNumberFormat="1" applyFont="1" applyFill="1" applyBorder="1" applyAlignment="1">
      <alignment horizontal="center" vertical="center"/>
    </xf>
    <xf numFmtId="4" fontId="5" fillId="5" borderId="9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center" vertical="center"/>
    </xf>
    <xf numFmtId="165" fontId="4" fillId="4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Daily Water Use (Litres)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Litres</c:v>
          </c:tx>
          <c:marker>
            <c:symbol val="none"/>
          </c:marker>
          <c:cat>
            <c:strRef>
              <c:f>'Daily Summary'!$A$2:$A$15</c:f>
              <c:strCache>
                <c:ptCount val="14"/>
                <c:pt idx="0">
                  <c:v>2026-07-01</c:v>
                </c:pt>
                <c:pt idx="1">
                  <c:v>2026-07-02</c:v>
                </c:pt>
                <c:pt idx="2">
                  <c:v>2026-07-03</c:v>
                </c:pt>
                <c:pt idx="3">
                  <c:v>2026-07-04</c:v>
                </c:pt>
                <c:pt idx="4">
                  <c:v>2026-07-05</c:v>
                </c:pt>
                <c:pt idx="5">
                  <c:v>2026-07-06</c:v>
                </c:pt>
                <c:pt idx="6">
                  <c:v>2026-07-07</c:v>
                </c:pt>
                <c:pt idx="7">
                  <c:v>2026-07-08</c:v>
                </c:pt>
                <c:pt idx="8">
                  <c:v>2026-07-09</c:v>
                </c:pt>
                <c:pt idx="9">
                  <c:v>2026-07-10</c:v>
                </c:pt>
                <c:pt idx="10">
                  <c:v>2026-07-11</c:v>
                </c:pt>
                <c:pt idx="11">
                  <c:v>2026-07-12</c:v>
                </c:pt>
                <c:pt idx="12">
                  <c:v>2026-07-13</c:v>
                </c:pt>
                <c:pt idx="13">
                  <c:v>2026-07-14</c:v>
                </c:pt>
              </c:strCache>
            </c:strRef>
          </c:cat>
          <c:val>
            <c:numRef>
              <c:f>'Daily Summary'!$B$2:$B$15</c:f>
              <c:numCache>
                <c:formatCode>#,##0.00</c:formatCode>
                <c:ptCount val="14"/>
                <c:pt idx="0">
                  <c:v>384.42</c:v>
                </c:pt>
                <c:pt idx="1">
                  <c:v>381.38</c:v>
                </c:pt>
                <c:pt idx="2">
                  <c:v>374.29</c:v>
                </c:pt>
                <c:pt idx="3">
                  <c:v>419.75</c:v>
                </c:pt>
                <c:pt idx="4">
                  <c:v>441.14</c:v>
                </c:pt>
                <c:pt idx="5">
                  <c:v>475.07</c:v>
                </c:pt>
                <c:pt idx="6">
                  <c:v>407.85</c:v>
                </c:pt>
                <c:pt idx="7">
                  <c:v>371.93</c:v>
                </c:pt>
                <c:pt idx="8">
                  <c:v>432.62</c:v>
                </c:pt>
                <c:pt idx="9">
                  <c:v>502.93</c:v>
                </c:pt>
                <c:pt idx="10">
                  <c:v>446.11</c:v>
                </c:pt>
                <c:pt idx="11">
                  <c:v>435.85</c:v>
                </c:pt>
                <c:pt idx="12">
                  <c:v>416.05</c:v>
                </c:pt>
                <c:pt idx="13">
                  <c:v>414.26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27-44B9-BE3B-712E4FA29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IN"/>
              <a:t>Water Use by Source</a:t>
            </a:r>
          </a:p>
        </c:rich>
      </c:tx>
      <c:layout>
        <c:manualLayout>
          <c:xMode val="edge"/>
          <c:yMode val="edge"/>
          <c:x val="0.12921461740359377"/>
          <c:y val="1.4492753623188406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v>Total Litres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31-425A-82C5-CDA9FF2C43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31-425A-82C5-CDA9FF2C43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31-425A-82C5-CDA9FF2C43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431-425A-82C5-CDA9FF2C43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431-425A-82C5-CDA9FF2C43B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431-425A-82C5-CDA9FF2C43B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431-425A-82C5-CDA9FF2C43BC}"/>
              </c:ext>
            </c:extLst>
          </c:dPt>
          <c:dLbls>
            <c:dLbl>
              <c:idx val="5"/>
              <c:layout>
                <c:manualLayout>
                  <c:x val="-2.9894763036083887E-2"/>
                  <c:y val="-5.331945068370649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431-425A-82C5-CDA9FF2C43BC}"/>
                </c:ext>
              </c:extLst>
            </c:dLbl>
            <c:dLbl>
              <c:idx val="6"/>
              <c:layout>
                <c:manualLayout>
                  <c:x val="-2.135340216863135E-3"/>
                  <c:y val="-6.78611190519900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431-425A-82C5-CDA9FF2C43BC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'Source Summary'!$A$2:$A$8</c:f>
              <c:strCache>
                <c:ptCount val="7"/>
                <c:pt idx="0">
                  <c:v>Background use</c:v>
                </c:pt>
                <c:pt idx="1">
                  <c:v>Bathroom</c:v>
                </c:pt>
                <c:pt idx="2">
                  <c:v>Kitchen</c:v>
                </c:pt>
                <c:pt idx="3">
                  <c:v>Garden</c:v>
                </c:pt>
                <c:pt idx="4">
                  <c:v>Kitchen/Bathroom</c:v>
                </c:pt>
                <c:pt idx="5">
                  <c:v>Laundry</c:v>
                </c:pt>
                <c:pt idx="6">
                  <c:v>Possible tap/toilet leak</c:v>
                </c:pt>
              </c:strCache>
            </c:strRef>
          </c:cat>
          <c:val>
            <c:numRef>
              <c:f>'Source Summary'!$B$2:$B$8</c:f>
              <c:numCache>
                <c:formatCode>#,##0.00</c:formatCode>
                <c:ptCount val="7"/>
                <c:pt idx="0">
                  <c:v>380.04</c:v>
                </c:pt>
                <c:pt idx="1">
                  <c:v>2371.7199999999998</c:v>
                </c:pt>
                <c:pt idx="2">
                  <c:v>317.99</c:v>
                </c:pt>
                <c:pt idx="3">
                  <c:v>496.19</c:v>
                </c:pt>
                <c:pt idx="4">
                  <c:v>2105.85</c:v>
                </c:pt>
                <c:pt idx="5">
                  <c:v>148.66</c:v>
                </c:pt>
                <c:pt idx="6">
                  <c:v>83.2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2-4E7D-8203-72072675E7A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7</xdr:row>
      <xdr:rowOff>15240</xdr:rowOff>
    </xdr:from>
    <xdr:to>
      <xdr:col>12</xdr:col>
      <xdr:colOff>7620</xdr:colOff>
      <xdr:row>22</xdr:row>
      <xdr:rowOff>15240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showGridLines="0" tabSelected="1" topLeftCell="D7" zoomScale="88" workbookViewId="0">
      <selection sqref="A1:L1"/>
    </sheetView>
  </sheetViews>
  <sheetFormatPr defaultRowHeight="13.8"/>
  <cols>
    <col min="1" max="12" width="13" customWidth="1"/>
  </cols>
  <sheetData>
    <row r="1" spans="1:12" ht="30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4.4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>
      <c r="A4" s="10">
        <f>'Impact Calculations'!B7</f>
        <v>5903.65</v>
      </c>
      <c r="B4" s="11"/>
      <c r="C4" s="12"/>
      <c r="D4" s="10">
        <f>'Impact Calculations'!B6</f>
        <v>79.06</v>
      </c>
      <c r="E4" s="11"/>
      <c r="F4" s="12"/>
      <c r="G4" s="10">
        <f>'Impact Calculations'!B9</f>
        <v>169.41428571428574</v>
      </c>
      <c r="H4" s="11"/>
      <c r="I4" s="12"/>
      <c r="J4" s="19">
        <f>'Impact Calculations'!B12</f>
        <v>5.9295000000000007E-2</v>
      </c>
      <c r="K4" s="20"/>
      <c r="L4" s="21"/>
    </row>
    <row r="5" spans="1:12">
      <c r="A5" s="13"/>
      <c r="B5" s="14"/>
      <c r="C5" s="15"/>
      <c r="D5" s="13"/>
      <c r="E5" s="14"/>
      <c r="F5" s="15"/>
      <c r="G5" s="13"/>
      <c r="H5" s="14"/>
      <c r="I5" s="15"/>
      <c r="J5" s="22"/>
      <c r="K5" s="23"/>
      <c r="L5" s="24"/>
    </row>
    <row r="6" spans="1:12">
      <c r="A6" s="16" t="s">
        <v>2</v>
      </c>
      <c r="B6" s="17"/>
      <c r="C6" s="18"/>
      <c r="D6" s="16" t="s">
        <v>3</v>
      </c>
      <c r="E6" s="17"/>
      <c r="F6" s="18"/>
      <c r="G6" s="16" t="s">
        <v>4</v>
      </c>
      <c r="H6" s="17"/>
      <c r="I6" s="18"/>
      <c r="J6" s="16" t="s">
        <v>5</v>
      </c>
      <c r="K6" s="17"/>
      <c r="L6" s="18"/>
    </row>
  </sheetData>
  <mergeCells count="10">
    <mergeCell ref="A1:L1"/>
    <mergeCell ref="A2:L2"/>
    <mergeCell ref="A4:C5"/>
    <mergeCell ref="A6:C6"/>
    <mergeCell ref="D4:F5"/>
    <mergeCell ref="D6:F6"/>
    <mergeCell ref="G4:I5"/>
    <mergeCell ref="G6:I6"/>
    <mergeCell ref="J4:L5"/>
    <mergeCell ref="J6:L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7"/>
  <sheetViews>
    <sheetView showGridLines="0" workbookViewId="0"/>
  </sheetViews>
  <sheetFormatPr defaultRowHeight="13.8"/>
  <cols>
    <col min="1" max="1" width="13.69921875" customWidth="1"/>
    <col min="2" max="2" width="9.09765625" customWidth="1"/>
    <col min="3" max="3" width="4.3984375" customWidth="1"/>
    <col min="4" max="4" width="9" customWidth="1"/>
    <col min="5" max="5" width="17.5" customWidth="1"/>
    <col min="6" max="6" width="20.19921875" customWidth="1"/>
    <col min="7" max="7" width="8.5" customWidth="1"/>
  </cols>
  <sheetData>
    <row r="1" spans="1:7" ht="24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t="s">
        <v>13</v>
      </c>
      <c r="B2" s="2" t="s">
        <v>14</v>
      </c>
      <c r="C2">
        <v>0</v>
      </c>
      <c r="D2" s="3">
        <v>2.35</v>
      </c>
      <c r="E2" t="s">
        <v>15</v>
      </c>
      <c r="F2" t="s">
        <v>16</v>
      </c>
      <c r="G2">
        <v>4</v>
      </c>
    </row>
    <row r="3" spans="1:7">
      <c r="A3" t="s">
        <v>17</v>
      </c>
      <c r="B3" s="2" t="s">
        <v>14</v>
      </c>
      <c r="C3">
        <v>1</v>
      </c>
      <c r="D3" s="3">
        <v>0.38</v>
      </c>
      <c r="E3" t="s">
        <v>15</v>
      </c>
      <c r="F3" t="s">
        <v>16</v>
      </c>
      <c r="G3">
        <v>4</v>
      </c>
    </row>
    <row r="4" spans="1:7">
      <c r="A4" t="s">
        <v>18</v>
      </c>
      <c r="B4" s="2" t="s">
        <v>14</v>
      </c>
      <c r="C4">
        <v>2</v>
      </c>
      <c r="D4" s="3">
        <v>1.18</v>
      </c>
      <c r="E4" t="s">
        <v>15</v>
      </c>
      <c r="F4" t="s">
        <v>16</v>
      </c>
      <c r="G4">
        <v>4</v>
      </c>
    </row>
    <row r="5" spans="1:7">
      <c r="A5" t="s">
        <v>19</v>
      </c>
      <c r="B5" s="2" t="s">
        <v>14</v>
      </c>
      <c r="C5">
        <v>3</v>
      </c>
      <c r="D5" s="3">
        <v>1.01</v>
      </c>
      <c r="E5" t="s">
        <v>15</v>
      </c>
      <c r="F5" t="s">
        <v>16</v>
      </c>
      <c r="G5">
        <v>4</v>
      </c>
    </row>
    <row r="6" spans="1:7">
      <c r="A6" t="s">
        <v>20</v>
      </c>
      <c r="B6" s="2" t="s">
        <v>14</v>
      </c>
      <c r="C6">
        <v>4</v>
      </c>
      <c r="D6" s="3">
        <v>2.66</v>
      </c>
      <c r="E6" t="s">
        <v>15</v>
      </c>
      <c r="F6" t="s">
        <v>16</v>
      </c>
      <c r="G6">
        <v>4</v>
      </c>
    </row>
    <row r="7" spans="1:7">
      <c r="A7" t="s">
        <v>21</v>
      </c>
      <c r="B7" s="2" t="s">
        <v>14</v>
      </c>
      <c r="C7">
        <v>5</v>
      </c>
      <c r="D7" s="3">
        <v>2.4700000000000002</v>
      </c>
      <c r="E7" t="s">
        <v>15</v>
      </c>
      <c r="F7" t="s">
        <v>16</v>
      </c>
      <c r="G7">
        <v>4</v>
      </c>
    </row>
    <row r="8" spans="1:7">
      <c r="A8" t="s">
        <v>22</v>
      </c>
      <c r="B8" s="2" t="s">
        <v>14</v>
      </c>
      <c r="C8">
        <v>6</v>
      </c>
      <c r="D8" s="3">
        <v>65.2</v>
      </c>
      <c r="E8" t="s">
        <v>23</v>
      </c>
      <c r="F8" t="s">
        <v>16</v>
      </c>
      <c r="G8">
        <v>4</v>
      </c>
    </row>
    <row r="9" spans="1:7">
      <c r="A9" t="s">
        <v>24</v>
      </c>
      <c r="B9" s="2" t="s">
        <v>14</v>
      </c>
      <c r="C9">
        <v>7</v>
      </c>
      <c r="D9" s="3">
        <v>44.26</v>
      </c>
      <c r="E9" t="s">
        <v>23</v>
      </c>
      <c r="F9" t="s">
        <v>16</v>
      </c>
      <c r="G9">
        <v>4</v>
      </c>
    </row>
    <row r="10" spans="1:7">
      <c r="A10" t="s">
        <v>25</v>
      </c>
      <c r="B10" s="2" t="s">
        <v>14</v>
      </c>
      <c r="C10">
        <v>8</v>
      </c>
      <c r="D10" s="3">
        <v>52.97</v>
      </c>
      <c r="E10" t="s">
        <v>23</v>
      </c>
      <c r="F10" t="s">
        <v>16</v>
      </c>
      <c r="G10">
        <v>4</v>
      </c>
    </row>
    <row r="11" spans="1:7">
      <c r="A11" t="s">
        <v>26</v>
      </c>
      <c r="B11" s="2" t="s">
        <v>14</v>
      </c>
      <c r="C11">
        <v>9</v>
      </c>
      <c r="D11" s="3">
        <v>0.4</v>
      </c>
      <c r="E11" t="s">
        <v>15</v>
      </c>
      <c r="F11" t="s">
        <v>16</v>
      </c>
      <c r="G11">
        <v>4</v>
      </c>
    </row>
    <row r="12" spans="1:7">
      <c r="A12" t="s">
        <v>27</v>
      </c>
      <c r="B12" s="2" t="s">
        <v>14</v>
      </c>
      <c r="C12">
        <v>10</v>
      </c>
      <c r="D12" s="3">
        <v>1</v>
      </c>
      <c r="E12" t="s">
        <v>15</v>
      </c>
      <c r="F12" t="s">
        <v>16</v>
      </c>
      <c r="G12">
        <v>4</v>
      </c>
    </row>
    <row r="13" spans="1:7">
      <c r="A13" t="s">
        <v>28</v>
      </c>
      <c r="B13" s="2" t="s">
        <v>14</v>
      </c>
      <c r="C13">
        <v>11</v>
      </c>
      <c r="D13" s="3">
        <v>1.92</v>
      </c>
      <c r="E13" t="s">
        <v>15</v>
      </c>
      <c r="F13" t="s">
        <v>16</v>
      </c>
      <c r="G13">
        <v>4</v>
      </c>
    </row>
    <row r="14" spans="1:7">
      <c r="A14" t="s">
        <v>29</v>
      </c>
      <c r="B14" s="2" t="s">
        <v>14</v>
      </c>
      <c r="C14">
        <v>12</v>
      </c>
      <c r="D14" s="3">
        <v>0.38</v>
      </c>
      <c r="E14" t="s">
        <v>15</v>
      </c>
      <c r="F14" t="s">
        <v>16</v>
      </c>
      <c r="G14">
        <v>4</v>
      </c>
    </row>
    <row r="15" spans="1:7">
      <c r="A15" t="s">
        <v>30</v>
      </c>
      <c r="B15" s="2" t="s">
        <v>14</v>
      </c>
      <c r="C15">
        <v>13</v>
      </c>
      <c r="D15" s="3">
        <v>17.579999999999998</v>
      </c>
      <c r="E15" t="s">
        <v>31</v>
      </c>
      <c r="F15" t="s">
        <v>16</v>
      </c>
      <c r="G15">
        <v>4</v>
      </c>
    </row>
    <row r="16" spans="1:7">
      <c r="A16" t="s">
        <v>32</v>
      </c>
      <c r="B16" s="2" t="s">
        <v>14</v>
      </c>
      <c r="C16">
        <v>14</v>
      </c>
      <c r="D16" s="3">
        <v>2.38</v>
      </c>
      <c r="E16" t="s">
        <v>15</v>
      </c>
      <c r="F16" t="s">
        <v>16</v>
      </c>
      <c r="G16">
        <v>4</v>
      </c>
    </row>
    <row r="17" spans="1:7">
      <c r="A17" t="s">
        <v>33</v>
      </c>
      <c r="B17" s="2" t="s">
        <v>14</v>
      </c>
      <c r="C17">
        <v>15</v>
      </c>
      <c r="D17" s="3">
        <v>2.04</v>
      </c>
      <c r="E17" t="s">
        <v>15</v>
      </c>
      <c r="F17" t="s">
        <v>16</v>
      </c>
      <c r="G17">
        <v>4</v>
      </c>
    </row>
    <row r="18" spans="1:7">
      <c r="A18" t="s">
        <v>34</v>
      </c>
      <c r="B18" s="2" t="s">
        <v>14</v>
      </c>
      <c r="C18">
        <v>16</v>
      </c>
      <c r="D18" s="3">
        <v>1.01</v>
      </c>
      <c r="E18" t="s">
        <v>15</v>
      </c>
      <c r="F18" t="s">
        <v>16</v>
      </c>
      <c r="G18">
        <v>4</v>
      </c>
    </row>
    <row r="19" spans="1:7">
      <c r="A19" t="s">
        <v>35</v>
      </c>
      <c r="B19" s="2" t="s">
        <v>14</v>
      </c>
      <c r="C19">
        <v>17</v>
      </c>
      <c r="D19" s="3">
        <v>15.07</v>
      </c>
      <c r="E19" t="s">
        <v>36</v>
      </c>
      <c r="F19" t="s">
        <v>16</v>
      </c>
      <c r="G19">
        <v>4</v>
      </c>
    </row>
    <row r="20" spans="1:7">
      <c r="A20" t="s">
        <v>37</v>
      </c>
      <c r="B20" s="2" t="s">
        <v>14</v>
      </c>
      <c r="C20">
        <v>18</v>
      </c>
      <c r="D20" s="3">
        <v>17.71</v>
      </c>
      <c r="E20" t="s">
        <v>36</v>
      </c>
      <c r="F20" t="s">
        <v>16</v>
      </c>
      <c r="G20">
        <v>4</v>
      </c>
    </row>
    <row r="21" spans="1:7">
      <c r="A21" t="s">
        <v>38</v>
      </c>
      <c r="B21" s="2" t="s">
        <v>14</v>
      </c>
      <c r="C21">
        <v>19</v>
      </c>
      <c r="D21" s="3">
        <v>38.159999999999997</v>
      </c>
      <c r="E21" t="s">
        <v>39</v>
      </c>
      <c r="F21" t="s">
        <v>16</v>
      </c>
      <c r="G21">
        <v>4</v>
      </c>
    </row>
    <row r="22" spans="1:7">
      <c r="A22" t="s">
        <v>40</v>
      </c>
      <c r="B22" s="2" t="s">
        <v>14</v>
      </c>
      <c r="C22">
        <v>20</v>
      </c>
      <c r="D22" s="3">
        <v>57.34</v>
      </c>
      <c r="E22" t="s">
        <v>39</v>
      </c>
      <c r="F22" t="s">
        <v>16</v>
      </c>
      <c r="G22">
        <v>4</v>
      </c>
    </row>
    <row r="23" spans="1:7">
      <c r="A23" t="s">
        <v>41</v>
      </c>
      <c r="B23" s="2" t="s">
        <v>14</v>
      </c>
      <c r="C23">
        <v>21</v>
      </c>
      <c r="D23" s="3">
        <v>54.76</v>
      </c>
      <c r="E23" t="s">
        <v>39</v>
      </c>
      <c r="F23" t="s">
        <v>16</v>
      </c>
      <c r="G23">
        <v>4</v>
      </c>
    </row>
    <row r="24" spans="1:7">
      <c r="A24" t="s">
        <v>42</v>
      </c>
      <c r="B24" s="2" t="s">
        <v>14</v>
      </c>
      <c r="C24">
        <v>22</v>
      </c>
      <c r="D24" s="3">
        <v>1.39</v>
      </c>
      <c r="E24" t="s">
        <v>15</v>
      </c>
      <c r="F24" t="s">
        <v>16</v>
      </c>
      <c r="G24">
        <v>4</v>
      </c>
    </row>
    <row r="25" spans="1:7">
      <c r="A25" t="s">
        <v>43</v>
      </c>
      <c r="B25" s="2" t="s">
        <v>14</v>
      </c>
      <c r="C25">
        <v>23</v>
      </c>
      <c r="D25" s="3">
        <v>0.8</v>
      </c>
      <c r="E25" t="s">
        <v>15</v>
      </c>
      <c r="F25" t="s">
        <v>16</v>
      </c>
      <c r="G25">
        <v>4</v>
      </c>
    </row>
    <row r="26" spans="1:7">
      <c r="A26" t="s">
        <v>44</v>
      </c>
      <c r="B26" s="2" t="s">
        <v>45</v>
      </c>
      <c r="C26">
        <v>0</v>
      </c>
      <c r="D26" s="3">
        <v>3.36</v>
      </c>
      <c r="E26" t="s">
        <v>15</v>
      </c>
      <c r="F26" t="s">
        <v>16</v>
      </c>
      <c r="G26">
        <v>4</v>
      </c>
    </row>
    <row r="27" spans="1:7">
      <c r="A27" t="s">
        <v>46</v>
      </c>
      <c r="B27" s="2" t="s">
        <v>45</v>
      </c>
      <c r="C27">
        <v>1</v>
      </c>
      <c r="D27" s="3">
        <v>1.38</v>
      </c>
      <c r="E27" t="s">
        <v>15</v>
      </c>
      <c r="F27" t="s">
        <v>16</v>
      </c>
      <c r="G27">
        <v>4</v>
      </c>
    </row>
    <row r="28" spans="1:7">
      <c r="A28" t="s">
        <v>47</v>
      </c>
      <c r="B28" s="2" t="s">
        <v>45</v>
      </c>
      <c r="C28">
        <v>2</v>
      </c>
      <c r="D28" s="3">
        <v>0.6</v>
      </c>
      <c r="E28" t="s">
        <v>15</v>
      </c>
      <c r="F28" t="s">
        <v>16</v>
      </c>
      <c r="G28">
        <v>4</v>
      </c>
    </row>
    <row r="29" spans="1:7">
      <c r="A29" t="s">
        <v>48</v>
      </c>
      <c r="B29" s="2" t="s">
        <v>45</v>
      </c>
      <c r="C29">
        <v>3</v>
      </c>
      <c r="D29" s="3">
        <v>0.61</v>
      </c>
      <c r="E29" t="s">
        <v>15</v>
      </c>
      <c r="F29" t="s">
        <v>16</v>
      </c>
      <c r="G29">
        <v>4</v>
      </c>
    </row>
    <row r="30" spans="1:7">
      <c r="A30" t="s">
        <v>49</v>
      </c>
      <c r="B30" s="2" t="s">
        <v>45</v>
      </c>
      <c r="C30">
        <v>4</v>
      </c>
      <c r="D30" s="3">
        <v>3.01</v>
      </c>
      <c r="E30" t="s">
        <v>15</v>
      </c>
      <c r="F30" t="s">
        <v>16</v>
      </c>
      <c r="G30">
        <v>4</v>
      </c>
    </row>
    <row r="31" spans="1:7">
      <c r="A31" t="s">
        <v>50</v>
      </c>
      <c r="B31" s="2" t="s">
        <v>45</v>
      </c>
      <c r="C31">
        <v>5</v>
      </c>
      <c r="D31" s="3">
        <v>2.23</v>
      </c>
      <c r="E31" t="s">
        <v>15</v>
      </c>
      <c r="F31" t="s">
        <v>16</v>
      </c>
      <c r="G31">
        <v>4</v>
      </c>
    </row>
    <row r="32" spans="1:7">
      <c r="A32" t="s">
        <v>51</v>
      </c>
      <c r="B32" s="2" t="s">
        <v>45</v>
      </c>
      <c r="C32">
        <v>6</v>
      </c>
      <c r="D32" s="3">
        <v>62.99</v>
      </c>
      <c r="E32" t="s">
        <v>23</v>
      </c>
      <c r="F32" t="s">
        <v>16</v>
      </c>
      <c r="G32">
        <v>4</v>
      </c>
    </row>
    <row r="33" spans="1:7">
      <c r="A33" t="s">
        <v>52</v>
      </c>
      <c r="B33" s="2" t="s">
        <v>45</v>
      </c>
      <c r="C33">
        <v>7</v>
      </c>
      <c r="D33" s="3">
        <v>60.97</v>
      </c>
      <c r="E33" t="s">
        <v>23</v>
      </c>
      <c r="F33" t="s">
        <v>16</v>
      </c>
      <c r="G33">
        <v>4</v>
      </c>
    </row>
    <row r="34" spans="1:7">
      <c r="A34" t="s">
        <v>53</v>
      </c>
      <c r="B34" s="2" t="s">
        <v>45</v>
      </c>
      <c r="C34">
        <v>8</v>
      </c>
      <c r="D34" s="3">
        <v>55.94</v>
      </c>
      <c r="E34" t="s">
        <v>23</v>
      </c>
      <c r="F34" t="s">
        <v>16</v>
      </c>
      <c r="G34">
        <v>4</v>
      </c>
    </row>
    <row r="35" spans="1:7">
      <c r="A35" t="s">
        <v>54</v>
      </c>
      <c r="B35" s="2" t="s">
        <v>45</v>
      </c>
      <c r="C35">
        <v>9</v>
      </c>
      <c r="D35" s="3">
        <v>3.41</v>
      </c>
      <c r="E35" t="s">
        <v>15</v>
      </c>
      <c r="F35" t="s">
        <v>16</v>
      </c>
      <c r="G35">
        <v>4</v>
      </c>
    </row>
    <row r="36" spans="1:7">
      <c r="A36" t="s">
        <v>55</v>
      </c>
      <c r="B36" s="2" t="s">
        <v>45</v>
      </c>
      <c r="C36">
        <v>10</v>
      </c>
      <c r="D36" s="3">
        <v>1.51</v>
      </c>
      <c r="E36" t="s">
        <v>15</v>
      </c>
      <c r="F36" t="s">
        <v>16</v>
      </c>
      <c r="G36">
        <v>4</v>
      </c>
    </row>
    <row r="37" spans="1:7">
      <c r="A37" t="s">
        <v>56</v>
      </c>
      <c r="B37" s="2" t="s">
        <v>45</v>
      </c>
      <c r="C37">
        <v>11</v>
      </c>
      <c r="D37" s="3">
        <v>2.0699999999999998</v>
      </c>
      <c r="E37" t="s">
        <v>15</v>
      </c>
      <c r="F37" t="s">
        <v>16</v>
      </c>
      <c r="G37">
        <v>4</v>
      </c>
    </row>
    <row r="38" spans="1:7">
      <c r="A38" t="s">
        <v>57</v>
      </c>
      <c r="B38" s="2" t="s">
        <v>45</v>
      </c>
      <c r="C38">
        <v>12</v>
      </c>
      <c r="D38" s="3">
        <v>2.95</v>
      </c>
      <c r="E38" t="s">
        <v>15</v>
      </c>
      <c r="F38" t="s">
        <v>16</v>
      </c>
      <c r="G38">
        <v>4</v>
      </c>
    </row>
    <row r="39" spans="1:7">
      <c r="A39" t="s">
        <v>58</v>
      </c>
      <c r="B39" s="2" t="s">
        <v>45</v>
      </c>
      <c r="C39">
        <v>13</v>
      </c>
      <c r="D39" s="3">
        <v>23.04</v>
      </c>
      <c r="E39" t="s">
        <v>31</v>
      </c>
      <c r="F39" t="s">
        <v>16</v>
      </c>
      <c r="G39">
        <v>4</v>
      </c>
    </row>
    <row r="40" spans="1:7">
      <c r="A40" t="s">
        <v>59</v>
      </c>
      <c r="B40" s="2" t="s">
        <v>45</v>
      </c>
      <c r="C40">
        <v>14</v>
      </c>
      <c r="D40" s="3">
        <v>3.06</v>
      </c>
      <c r="E40" t="s">
        <v>15</v>
      </c>
      <c r="F40" t="s">
        <v>16</v>
      </c>
      <c r="G40">
        <v>4</v>
      </c>
    </row>
    <row r="41" spans="1:7">
      <c r="A41" t="s">
        <v>60</v>
      </c>
      <c r="B41" s="2" t="s">
        <v>45</v>
      </c>
      <c r="C41">
        <v>15</v>
      </c>
      <c r="D41" s="3">
        <v>2.15</v>
      </c>
      <c r="E41" t="s">
        <v>15</v>
      </c>
      <c r="F41" t="s">
        <v>16</v>
      </c>
      <c r="G41">
        <v>4</v>
      </c>
    </row>
    <row r="42" spans="1:7">
      <c r="A42" t="s">
        <v>61</v>
      </c>
      <c r="B42" s="2" t="s">
        <v>45</v>
      </c>
      <c r="C42">
        <v>16</v>
      </c>
      <c r="D42" s="3">
        <v>2.5499999999999998</v>
      </c>
      <c r="E42" t="s">
        <v>15</v>
      </c>
      <c r="F42" t="s">
        <v>16</v>
      </c>
      <c r="G42">
        <v>4</v>
      </c>
    </row>
    <row r="43" spans="1:7">
      <c r="A43" t="s">
        <v>62</v>
      </c>
      <c r="B43" s="2" t="s">
        <v>45</v>
      </c>
      <c r="C43">
        <v>17</v>
      </c>
      <c r="D43" s="3">
        <v>8.5500000000000007</v>
      </c>
      <c r="E43" t="s">
        <v>36</v>
      </c>
      <c r="F43" t="s">
        <v>16</v>
      </c>
      <c r="G43">
        <v>4</v>
      </c>
    </row>
    <row r="44" spans="1:7">
      <c r="A44" t="s">
        <v>63</v>
      </c>
      <c r="B44" s="2" t="s">
        <v>45</v>
      </c>
      <c r="C44">
        <v>18</v>
      </c>
      <c r="D44" s="3">
        <v>10.73</v>
      </c>
      <c r="E44" t="s">
        <v>36</v>
      </c>
      <c r="F44" t="s">
        <v>16</v>
      </c>
      <c r="G44">
        <v>4</v>
      </c>
    </row>
    <row r="45" spans="1:7">
      <c r="A45" t="s">
        <v>64</v>
      </c>
      <c r="B45" s="2" t="s">
        <v>45</v>
      </c>
      <c r="C45">
        <v>19</v>
      </c>
      <c r="D45" s="3">
        <v>44.95</v>
      </c>
      <c r="E45" t="s">
        <v>39</v>
      </c>
      <c r="F45" t="s">
        <v>16</v>
      </c>
      <c r="G45">
        <v>4</v>
      </c>
    </row>
    <row r="46" spans="1:7">
      <c r="A46" t="s">
        <v>65</v>
      </c>
      <c r="B46" s="2" t="s">
        <v>45</v>
      </c>
      <c r="C46">
        <v>20</v>
      </c>
      <c r="D46" s="3">
        <v>39.92</v>
      </c>
      <c r="E46" t="s">
        <v>39</v>
      </c>
      <c r="F46" t="s">
        <v>16</v>
      </c>
      <c r="G46">
        <v>4</v>
      </c>
    </row>
    <row r="47" spans="1:7">
      <c r="A47" t="s">
        <v>66</v>
      </c>
      <c r="B47" s="2" t="s">
        <v>45</v>
      </c>
      <c r="C47">
        <v>21</v>
      </c>
      <c r="D47" s="3">
        <v>43.59</v>
      </c>
      <c r="E47" t="s">
        <v>39</v>
      </c>
      <c r="F47" t="s">
        <v>16</v>
      </c>
      <c r="G47">
        <v>4</v>
      </c>
    </row>
    <row r="48" spans="1:7">
      <c r="A48" t="s">
        <v>67</v>
      </c>
      <c r="B48" s="2" t="s">
        <v>45</v>
      </c>
      <c r="C48">
        <v>22</v>
      </c>
      <c r="D48" s="3">
        <v>0.62</v>
      </c>
      <c r="E48" t="s">
        <v>15</v>
      </c>
      <c r="F48" t="s">
        <v>16</v>
      </c>
      <c r="G48">
        <v>4</v>
      </c>
    </row>
    <row r="49" spans="1:7">
      <c r="A49" t="s">
        <v>68</v>
      </c>
      <c r="B49" s="2" t="s">
        <v>45</v>
      </c>
      <c r="C49">
        <v>23</v>
      </c>
      <c r="D49" s="3">
        <v>1.19</v>
      </c>
      <c r="E49" t="s">
        <v>15</v>
      </c>
      <c r="F49" t="s">
        <v>16</v>
      </c>
      <c r="G49">
        <v>4</v>
      </c>
    </row>
    <row r="50" spans="1:7">
      <c r="A50" t="s">
        <v>69</v>
      </c>
      <c r="B50" s="2" t="s">
        <v>70</v>
      </c>
      <c r="C50">
        <v>0</v>
      </c>
      <c r="D50" s="3">
        <v>2.33</v>
      </c>
      <c r="E50" t="s">
        <v>15</v>
      </c>
      <c r="F50" t="s">
        <v>16</v>
      </c>
      <c r="G50">
        <v>4</v>
      </c>
    </row>
    <row r="51" spans="1:7">
      <c r="A51" t="s">
        <v>71</v>
      </c>
      <c r="B51" s="2" t="s">
        <v>70</v>
      </c>
      <c r="C51">
        <v>1</v>
      </c>
      <c r="D51" s="3">
        <v>1.47</v>
      </c>
      <c r="E51" t="s">
        <v>15</v>
      </c>
      <c r="F51" t="s">
        <v>16</v>
      </c>
      <c r="G51">
        <v>4</v>
      </c>
    </row>
    <row r="52" spans="1:7">
      <c r="A52" t="s">
        <v>72</v>
      </c>
      <c r="B52" s="2" t="s">
        <v>70</v>
      </c>
      <c r="C52">
        <v>2</v>
      </c>
      <c r="D52" s="3">
        <v>1.48</v>
      </c>
      <c r="E52" t="s">
        <v>15</v>
      </c>
      <c r="F52" t="s">
        <v>16</v>
      </c>
      <c r="G52">
        <v>4</v>
      </c>
    </row>
    <row r="53" spans="1:7">
      <c r="A53" t="s">
        <v>73</v>
      </c>
      <c r="B53" s="2" t="s">
        <v>70</v>
      </c>
      <c r="C53">
        <v>3</v>
      </c>
      <c r="D53" s="3">
        <v>0.97</v>
      </c>
      <c r="E53" t="s">
        <v>15</v>
      </c>
      <c r="F53" t="s">
        <v>16</v>
      </c>
      <c r="G53">
        <v>4</v>
      </c>
    </row>
    <row r="54" spans="1:7">
      <c r="A54" t="s">
        <v>74</v>
      </c>
      <c r="B54" s="2" t="s">
        <v>70</v>
      </c>
      <c r="C54">
        <v>4</v>
      </c>
      <c r="D54" s="3">
        <v>1.1499999999999999</v>
      </c>
      <c r="E54" t="s">
        <v>15</v>
      </c>
      <c r="F54" t="s">
        <v>16</v>
      </c>
      <c r="G54">
        <v>4</v>
      </c>
    </row>
    <row r="55" spans="1:7">
      <c r="A55" t="s">
        <v>75</v>
      </c>
      <c r="B55" s="2" t="s">
        <v>70</v>
      </c>
      <c r="C55">
        <v>5</v>
      </c>
      <c r="D55" s="3">
        <v>3.3</v>
      </c>
      <c r="E55" t="s">
        <v>15</v>
      </c>
      <c r="F55" t="s">
        <v>16</v>
      </c>
      <c r="G55">
        <v>4</v>
      </c>
    </row>
    <row r="56" spans="1:7">
      <c r="A56" t="s">
        <v>76</v>
      </c>
      <c r="B56" s="2" t="s">
        <v>70</v>
      </c>
      <c r="C56">
        <v>6</v>
      </c>
      <c r="D56" s="3">
        <v>58.85</v>
      </c>
      <c r="E56" t="s">
        <v>23</v>
      </c>
      <c r="F56" t="s">
        <v>16</v>
      </c>
      <c r="G56">
        <v>4</v>
      </c>
    </row>
    <row r="57" spans="1:7">
      <c r="A57" t="s">
        <v>77</v>
      </c>
      <c r="B57" s="2" t="s">
        <v>70</v>
      </c>
      <c r="C57">
        <v>7</v>
      </c>
      <c r="D57" s="3">
        <v>57.84</v>
      </c>
      <c r="E57" t="s">
        <v>23</v>
      </c>
      <c r="F57" t="s">
        <v>16</v>
      </c>
      <c r="G57">
        <v>4</v>
      </c>
    </row>
    <row r="58" spans="1:7">
      <c r="A58" t="s">
        <v>78</v>
      </c>
      <c r="B58" s="2" t="s">
        <v>70</v>
      </c>
      <c r="C58">
        <v>8</v>
      </c>
      <c r="D58" s="3">
        <v>46.45</v>
      </c>
      <c r="E58" t="s">
        <v>23</v>
      </c>
      <c r="F58" t="s">
        <v>16</v>
      </c>
      <c r="G58">
        <v>4</v>
      </c>
    </row>
    <row r="59" spans="1:7">
      <c r="A59" t="s">
        <v>79</v>
      </c>
      <c r="B59" s="2" t="s">
        <v>70</v>
      </c>
      <c r="C59">
        <v>9</v>
      </c>
      <c r="D59" s="3">
        <v>2.63</v>
      </c>
      <c r="E59" t="s">
        <v>15</v>
      </c>
      <c r="F59" t="s">
        <v>16</v>
      </c>
      <c r="G59">
        <v>4</v>
      </c>
    </row>
    <row r="60" spans="1:7">
      <c r="A60" t="s">
        <v>80</v>
      </c>
      <c r="B60" s="2" t="s">
        <v>70</v>
      </c>
      <c r="C60">
        <v>10</v>
      </c>
      <c r="D60" s="3">
        <v>0.82</v>
      </c>
      <c r="E60" t="s">
        <v>15</v>
      </c>
      <c r="F60" t="s">
        <v>16</v>
      </c>
      <c r="G60">
        <v>4</v>
      </c>
    </row>
    <row r="61" spans="1:7">
      <c r="A61" t="s">
        <v>81</v>
      </c>
      <c r="B61" s="2" t="s">
        <v>70</v>
      </c>
      <c r="C61">
        <v>11</v>
      </c>
      <c r="D61" s="3">
        <v>1.51</v>
      </c>
      <c r="E61" t="s">
        <v>15</v>
      </c>
      <c r="F61" t="s">
        <v>16</v>
      </c>
      <c r="G61">
        <v>4</v>
      </c>
    </row>
    <row r="62" spans="1:7">
      <c r="A62" t="s">
        <v>82</v>
      </c>
      <c r="B62" s="2" t="s">
        <v>70</v>
      </c>
      <c r="C62">
        <v>12</v>
      </c>
      <c r="D62" s="3">
        <v>3.47</v>
      </c>
      <c r="E62" t="s">
        <v>15</v>
      </c>
      <c r="F62" t="s">
        <v>16</v>
      </c>
      <c r="G62">
        <v>4</v>
      </c>
    </row>
    <row r="63" spans="1:7">
      <c r="A63" t="s">
        <v>83</v>
      </c>
      <c r="B63" s="2" t="s">
        <v>70</v>
      </c>
      <c r="C63">
        <v>13</v>
      </c>
      <c r="D63" s="3">
        <v>23.32</v>
      </c>
      <c r="E63" t="s">
        <v>31</v>
      </c>
      <c r="F63" t="s">
        <v>16</v>
      </c>
      <c r="G63">
        <v>4</v>
      </c>
    </row>
    <row r="64" spans="1:7">
      <c r="A64" t="s">
        <v>84</v>
      </c>
      <c r="B64" s="2" t="s">
        <v>70</v>
      </c>
      <c r="C64">
        <v>14</v>
      </c>
      <c r="D64" s="3">
        <v>2.08</v>
      </c>
      <c r="E64" t="s">
        <v>15</v>
      </c>
      <c r="F64" t="s">
        <v>16</v>
      </c>
      <c r="G64">
        <v>4</v>
      </c>
    </row>
    <row r="65" spans="1:7">
      <c r="A65" t="s">
        <v>85</v>
      </c>
      <c r="B65" s="2" t="s">
        <v>70</v>
      </c>
      <c r="C65">
        <v>15</v>
      </c>
      <c r="D65" s="3">
        <v>2.4900000000000002</v>
      </c>
      <c r="E65" t="s">
        <v>15</v>
      </c>
      <c r="F65" t="s">
        <v>16</v>
      </c>
      <c r="G65">
        <v>4</v>
      </c>
    </row>
    <row r="66" spans="1:7">
      <c r="A66" t="s">
        <v>86</v>
      </c>
      <c r="B66" s="2" t="s">
        <v>70</v>
      </c>
      <c r="C66">
        <v>16</v>
      </c>
      <c r="D66" s="3">
        <v>3</v>
      </c>
      <c r="E66" t="s">
        <v>15</v>
      </c>
      <c r="F66" t="s">
        <v>16</v>
      </c>
      <c r="G66">
        <v>4</v>
      </c>
    </row>
    <row r="67" spans="1:7">
      <c r="A67" t="s">
        <v>87</v>
      </c>
      <c r="B67" s="2" t="s">
        <v>70</v>
      </c>
      <c r="C67">
        <v>17</v>
      </c>
      <c r="D67" s="3">
        <v>17.309999999999999</v>
      </c>
      <c r="E67" t="s">
        <v>36</v>
      </c>
      <c r="F67" t="s">
        <v>16</v>
      </c>
      <c r="G67">
        <v>4</v>
      </c>
    </row>
    <row r="68" spans="1:7">
      <c r="A68" t="s">
        <v>88</v>
      </c>
      <c r="B68" s="2" t="s">
        <v>70</v>
      </c>
      <c r="C68">
        <v>18</v>
      </c>
      <c r="D68" s="3">
        <v>10.75</v>
      </c>
      <c r="E68" t="s">
        <v>36</v>
      </c>
      <c r="F68" t="s">
        <v>16</v>
      </c>
      <c r="G68">
        <v>4</v>
      </c>
    </row>
    <row r="69" spans="1:7">
      <c r="A69" t="s">
        <v>89</v>
      </c>
      <c r="B69" s="2" t="s">
        <v>70</v>
      </c>
      <c r="C69">
        <v>19</v>
      </c>
      <c r="D69" s="3">
        <v>38.770000000000003</v>
      </c>
      <c r="E69" t="s">
        <v>39</v>
      </c>
      <c r="F69" t="s">
        <v>16</v>
      </c>
      <c r="G69">
        <v>4</v>
      </c>
    </row>
    <row r="70" spans="1:7">
      <c r="A70" t="s">
        <v>90</v>
      </c>
      <c r="B70" s="2" t="s">
        <v>70</v>
      </c>
      <c r="C70">
        <v>20</v>
      </c>
      <c r="D70" s="3">
        <v>45.57</v>
      </c>
      <c r="E70" t="s">
        <v>39</v>
      </c>
      <c r="F70" t="s">
        <v>16</v>
      </c>
      <c r="G70">
        <v>4</v>
      </c>
    </row>
    <row r="71" spans="1:7">
      <c r="A71" t="s">
        <v>91</v>
      </c>
      <c r="B71" s="2" t="s">
        <v>70</v>
      </c>
      <c r="C71">
        <v>21</v>
      </c>
      <c r="D71" s="3">
        <v>44.43</v>
      </c>
      <c r="E71" t="s">
        <v>39</v>
      </c>
      <c r="F71" t="s">
        <v>16</v>
      </c>
      <c r="G71">
        <v>4</v>
      </c>
    </row>
    <row r="72" spans="1:7">
      <c r="A72" t="s">
        <v>92</v>
      </c>
      <c r="B72" s="2" t="s">
        <v>70</v>
      </c>
      <c r="C72">
        <v>22</v>
      </c>
      <c r="D72" s="3">
        <v>0.98</v>
      </c>
      <c r="E72" t="s">
        <v>15</v>
      </c>
      <c r="F72" t="s">
        <v>16</v>
      </c>
      <c r="G72">
        <v>4</v>
      </c>
    </row>
    <row r="73" spans="1:7">
      <c r="A73" t="s">
        <v>93</v>
      </c>
      <c r="B73" s="2" t="s">
        <v>70</v>
      </c>
      <c r="C73">
        <v>23</v>
      </c>
      <c r="D73" s="3">
        <v>3.32</v>
      </c>
      <c r="E73" t="s">
        <v>15</v>
      </c>
      <c r="F73" t="s">
        <v>16</v>
      </c>
      <c r="G73">
        <v>4</v>
      </c>
    </row>
    <row r="74" spans="1:7">
      <c r="A74" t="s">
        <v>94</v>
      </c>
      <c r="B74" s="2" t="s">
        <v>95</v>
      </c>
      <c r="C74">
        <v>0</v>
      </c>
      <c r="D74" s="3">
        <v>3.1</v>
      </c>
      <c r="E74" t="s">
        <v>15</v>
      </c>
      <c r="F74" t="s">
        <v>16</v>
      </c>
      <c r="G74">
        <v>4</v>
      </c>
    </row>
    <row r="75" spans="1:7">
      <c r="A75" t="s">
        <v>96</v>
      </c>
      <c r="B75" s="2" t="s">
        <v>95</v>
      </c>
      <c r="C75">
        <v>1</v>
      </c>
      <c r="D75" s="3">
        <v>1.31</v>
      </c>
      <c r="E75" t="s">
        <v>15</v>
      </c>
      <c r="F75" t="s">
        <v>16</v>
      </c>
      <c r="G75">
        <v>4</v>
      </c>
    </row>
    <row r="76" spans="1:7">
      <c r="A76" t="s">
        <v>97</v>
      </c>
      <c r="B76" s="2" t="s">
        <v>95</v>
      </c>
      <c r="C76">
        <v>2</v>
      </c>
      <c r="D76" s="3">
        <v>2.4</v>
      </c>
      <c r="E76" t="s">
        <v>15</v>
      </c>
      <c r="F76" t="s">
        <v>16</v>
      </c>
      <c r="G76">
        <v>4</v>
      </c>
    </row>
    <row r="77" spans="1:7">
      <c r="A77" t="s">
        <v>98</v>
      </c>
      <c r="B77" s="2" t="s">
        <v>95</v>
      </c>
      <c r="C77">
        <v>3</v>
      </c>
      <c r="D77" s="3">
        <v>1.57</v>
      </c>
      <c r="E77" t="s">
        <v>15</v>
      </c>
      <c r="F77" t="s">
        <v>16</v>
      </c>
      <c r="G77">
        <v>4</v>
      </c>
    </row>
    <row r="78" spans="1:7">
      <c r="A78" t="s">
        <v>99</v>
      </c>
      <c r="B78" s="2" t="s">
        <v>95</v>
      </c>
      <c r="C78">
        <v>4</v>
      </c>
      <c r="D78" s="3">
        <v>3.23</v>
      </c>
      <c r="E78" t="s">
        <v>15</v>
      </c>
      <c r="F78" t="s">
        <v>16</v>
      </c>
      <c r="G78">
        <v>4</v>
      </c>
    </row>
    <row r="79" spans="1:7">
      <c r="A79" t="s">
        <v>100</v>
      </c>
      <c r="B79" s="2" t="s">
        <v>95</v>
      </c>
      <c r="C79">
        <v>5</v>
      </c>
      <c r="D79" s="3">
        <v>1.77</v>
      </c>
      <c r="E79" t="s">
        <v>15</v>
      </c>
      <c r="F79" t="s">
        <v>16</v>
      </c>
      <c r="G79">
        <v>4</v>
      </c>
    </row>
    <row r="80" spans="1:7">
      <c r="A80" t="s">
        <v>101</v>
      </c>
      <c r="B80" s="2" t="s">
        <v>95</v>
      </c>
      <c r="C80">
        <v>6</v>
      </c>
      <c r="D80" s="3">
        <v>48.89</v>
      </c>
      <c r="E80" t="s">
        <v>23</v>
      </c>
      <c r="F80" t="s">
        <v>16</v>
      </c>
      <c r="G80">
        <v>4</v>
      </c>
    </row>
    <row r="81" spans="1:7">
      <c r="A81" t="s">
        <v>102</v>
      </c>
      <c r="B81" s="2" t="s">
        <v>95</v>
      </c>
      <c r="C81">
        <v>7</v>
      </c>
      <c r="D81" s="3">
        <v>48.41</v>
      </c>
      <c r="E81" t="s">
        <v>23</v>
      </c>
      <c r="F81" t="s">
        <v>16</v>
      </c>
      <c r="G81">
        <v>4</v>
      </c>
    </row>
    <row r="82" spans="1:7">
      <c r="A82" t="s">
        <v>103</v>
      </c>
      <c r="B82" s="2" t="s">
        <v>95</v>
      </c>
      <c r="C82">
        <v>8</v>
      </c>
      <c r="D82" s="3">
        <v>56.6</v>
      </c>
      <c r="E82" t="s">
        <v>23</v>
      </c>
      <c r="F82" t="s">
        <v>16</v>
      </c>
      <c r="G82">
        <v>4</v>
      </c>
    </row>
    <row r="83" spans="1:7">
      <c r="A83" t="s">
        <v>104</v>
      </c>
      <c r="B83" s="2" t="s">
        <v>95</v>
      </c>
      <c r="C83">
        <v>9</v>
      </c>
      <c r="D83" s="3">
        <v>1.1399999999999999</v>
      </c>
      <c r="E83" t="s">
        <v>15</v>
      </c>
      <c r="F83" t="s">
        <v>16</v>
      </c>
      <c r="G83">
        <v>4</v>
      </c>
    </row>
    <row r="84" spans="1:7">
      <c r="A84" t="s">
        <v>105</v>
      </c>
      <c r="B84" s="2" t="s">
        <v>95</v>
      </c>
      <c r="C84">
        <v>10</v>
      </c>
      <c r="D84" s="3">
        <v>44.61</v>
      </c>
      <c r="E84" t="s">
        <v>106</v>
      </c>
      <c r="F84" t="s">
        <v>16</v>
      </c>
      <c r="G84">
        <v>4</v>
      </c>
    </row>
    <row r="85" spans="1:7">
      <c r="A85" t="s">
        <v>107</v>
      </c>
      <c r="B85" s="2" t="s">
        <v>95</v>
      </c>
      <c r="C85">
        <v>11</v>
      </c>
      <c r="D85" s="3">
        <v>3.17</v>
      </c>
      <c r="E85" t="s">
        <v>15</v>
      </c>
      <c r="F85" t="s">
        <v>16</v>
      </c>
      <c r="G85">
        <v>4</v>
      </c>
    </row>
    <row r="86" spans="1:7">
      <c r="A86" t="s">
        <v>108</v>
      </c>
      <c r="B86" s="2" t="s">
        <v>95</v>
      </c>
      <c r="C86">
        <v>12</v>
      </c>
      <c r="D86" s="3">
        <v>1.58</v>
      </c>
      <c r="E86" t="s">
        <v>15</v>
      </c>
      <c r="F86" t="s">
        <v>16</v>
      </c>
      <c r="G86">
        <v>4</v>
      </c>
    </row>
    <row r="87" spans="1:7">
      <c r="A87" t="s">
        <v>109</v>
      </c>
      <c r="B87" s="2" t="s">
        <v>95</v>
      </c>
      <c r="C87">
        <v>13</v>
      </c>
      <c r="D87" s="3">
        <v>17.850000000000001</v>
      </c>
      <c r="E87" t="s">
        <v>31</v>
      </c>
      <c r="F87" t="s">
        <v>16</v>
      </c>
      <c r="G87">
        <v>4</v>
      </c>
    </row>
    <row r="88" spans="1:7">
      <c r="A88" t="s">
        <v>110</v>
      </c>
      <c r="B88" s="2" t="s">
        <v>95</v>
      </c>
      <c r="C88">
        <v>14</v>
      </c>
      <c r="D88" s="3">
        <v>3.49</v>
      </c>
      <c r="E88" t="s">
        <v>15</v>
      </c>
      <c r="F88" t="s">
        <v>16</v>
      </c>
      <c r="G88">
        <v>4</v>
      </c>
    </row>
    <row r="89" spans="1:7">
      <c r="A89" t="s">
        <v>111</v>
      </c>
      <c r="B89" s="2" t="s">
        <v>95</v>
      </c>
      <c r="C89">
        <v>15</v>
      </c>
      <c r="D89" s="3">
        <v>1.93</v>
      </c>
      <c r="E89" t="s">
        <v>15</v>
      </c>
      <c r="F89" t="s">
        <v>16</v>
      </c>
      <c r="G89">
        <v>4</v>
      </c>
    </row>
    <row r="90" spans="1:7">
      <c r="A90" t="s">
        <v>112</v>
      </c>
      <c r="B90" s="2" t="s">
        <v>95</v>
      </c>
      <c r="C90">
        <v>16</v>
      </c>
      <c r="D90" s="3">
        <v>0.59</v>
      </c>
      <c r="E90" t="s">
        <v>15</v>
      </c>
      <c r="F90" t="s">
        <v>16</v>
      </c>
      <c r="G90">
        <v>4</v>
      </c>
    </row>
    <row r="91" spans="1:7">
      <c r="A91" t="s">
        <v>113</v>
      </c>
      <c r="B91" s="2" t="s">
        <v>95</v>
      </c>
      <c r="C91">
        <v>17</v>
      </c>
      <c r="D91" s="3">
        <v>8.57</v>
      </c>
      <c r="E91" t="s">
        <v>36</v>
      </c>
      <c r="F91" t="s">
        <v>16</v>
      </c>
      <c r="G91">
        <v>4</v>
      </c>
    </row>
    <row r="92" spans="1:7">
      <c r="A92" t="s">
        <v>114</v>
      </c>
      <c r="B92" s="2" t="s">
        <v>95</v>
      </c>
      <c r="C92">
        <v>18</v>
      </c>
      <c r="D92" s="3">
        <v>9.32</v>
      </c>
      <c r="E92" t="s">
        <v>36</v>
      </c>
      <c r="F92" t="s">
        <v>16</v>
      </c>
      <c r="G92">
        <v>4</v>
      </c>
    </row>
    <row r="93" spans="1:7">
      <c r="A93" t="s">
        <v>115</v>
      </c>
      <c r="B93" s="2" t="s">
        <v>95</v>
      </c>
      <c r="C93">
        <v>19</v>
      </c>
      <c r="D93" s="3">
        <v>53.06</v>
      </c>
      <c r="E93" t="s">
        <v>39</v>
      </c>
      <c r="F93" t="s">
        <v>16</v>
      </c>
      <c r="G93">
        <v>4</v>
      </c>
    </row>
    <row r="94" spans="1:7">
      <c r="A94" t="s">
        <v>116</v>
      </c>
      <c r="B94" s="2" t="s">
        <v>95</v>
      </c>
      <c r="C94">
        <v>20</v>
      </c>
      <c r="D94" s="3">
        <v>57.01</v>
      </c>
      <c r="E94" t="s">
        <v>39</v>
      </c>
      <c r="F94" t="s">
        <v>16</v>
      </c>
      <c r="G94">
        <v>4</v>
      </c>
    </row>
    <row r="95" spans="1:7">
      <c r="A95" t="s">
        <v>117</v>
      </c>
      <c r="B95" s="2" t="s">
        <v>95</v>
      </c>
      <c r="C95">
        <v>21</v>
      </c>
      <c r="D95" s="3">
        <v>48.13</v>
      </c>
      <c r="E95" t="s">
        <v>39</v>
      </c>
      <c r="F95" t="s">
        <v>16</v>
      </c>
      <c r="G95">
        <v>4</v>
      </c>
    </row>
    <row r="96" spans="1:7">
      <c r="A96" t="s">
        <v>118</v>
      </c>
      <c r="B96" s="2" t="s">
        <v>95</v>
      </c>
      <c r="C96">
        <v>22</v>
      </c>
      <c r="D96" s="3">
        <v>0.5</v>
      </c>
      <c r="E96" t="s">
        <v>15</v>
      </c>
      <c r="F96" t="s">
        <v>16</v>
      </c>
      <c r="G96">
        <v>4</v>
      </c>
    </row>
    <row r="97" spans="1:7">
      <c r="A97" t="s">
        <v>119</v>
      </c>
      <c r="B97" s="2" t="s">
        <v>95</v>
      </c>
      <c r="C97">
        <v>23</v>
      </c>
      <c r="D97" s="3">
        <v>1.52</v>
      </c>
      <c r="E97" t="s">
        <v>15</v>
      </c>
      <c r="F97" t="s">
        <v>16</v>
      </c>
      <c r="G97">
        <v>4</v>
      </c>
    </row>
    <row r="98" spans="1:7">
      <c r="A98" t="s">
        <v>120</v>
      </c>
      <c r="B98" s="2" t="s">
        <v>121</v>
      </c>
      <c r="C98">
        <v>0</v>
      </c>
      <c r="D98" s="3">
        <v>3.49</v>
      </c>
      <c r="E98" t="s">
        <v>15</v>
      </c>
      <c r="F98" t="s">
        <v>16</v>
      </c>
      <c r="G98">
        <v>4</v>
      </c>
    </row>
    <row r="99" spans="1:7">
      <c r="A99" t="s">
        <v>122</v>
      </c>
      <c r="B99" s="2" t="s">
        <v>121</v>
      </c>
      <c r="C99">
        <v>1</v>
      </c>
      <c r="D99" s="3">
        <v>1.99</v>
      </c>
      <c r="E99" t="s">
        <v>15</v>
      </c>
      <c r="F99" t="s">
        <v>16</v>
      </c>
      <c r="G99">
        <v>4</v>
      </c>
    </row>
    <row r="100" spans="1:7">
      <c r="A100" t="s">
        <v>123</v>
      </c>
      <c r="B100" s="2" t="s">
        <v>121</v>
      </c>
      <c r="C100">
        <v>2</v>
      </c>
      <c r="D100" s="3">
        <v>3.41</v>
      </c>
      <c r="E100" t="s">
        <v>15</v>
      </c>
      <c r="F100" t="s">
        <v>16</v>
      </c>
      <c r="G100">
        <v>4</v>
      </c>
    </row>
    <row r="101" spans="1:7">
      <c r="A101" t="s">
        <v>124</v>
      </c>
      <c r="B101" s="2" t="s">
        <v>121</v>
      </c>
      <c r="C101">
        <v>3</v>
      </c>
      <c r="D101" s="3">
        <v>3.05</v>
      </c>
      <c r="E101" t="s">
        <v>15</v>
      </c>
      <c r="F101" t="s">
        <v>16</v>
      </c>
      <c r="G101">
        <v>4</v>
      </c>
    </row>
    <row r="102" spans="1:7">
      <c r="A102" t="s">
        <v>125</v>
      </c>
      <c r="B102" s="2" t="s">
        <v>121</v>
      </c>
      <c r="C102">
        <v>4</v>
      </c>
      <c r="D102" s="3">
        <v>0.34</v>
      </c>
      <c r="E102" t="s">
        <v>15</v>
      </c>
      <c r="F102" t="s">
        <v>16</v>
      </c>
      <c r="G102">
        <v>4</v>
      </c>
    </row>
    <row r="103" spans="1:7">
      <c r="A103" t="s">
        <v>126</v>
      </c>
      <c r="B103" s="2" t="s">
        <v>121</v>
      </c>
      <c r="C103">
        <v>5</v>
      </c>
      <c r="D103" s="3">
        <v>2.61</v>
      </c>
      <c r="E103" t="s">
        <v>15</v>
      </c>
      <c r="F103" t="s">
        <v>16</v>
      </c>
      <c r="G103">
        <v>4</v>
      </c>
    </row>
    <row r="104" spans="1:7">
      <c r="A104" t="s">
        <v>127</v>
      </c>
      <c r="B104" s="2" t="s">
        <v>121</v>
      </c>
      <c r="C104">
        <v>6</v>
      </c>
      <c r="D104" s="3">
        <v>59.72</v>
      </c>
      <c r="E104" t="s">
        <v>23</v>
      </c>
      <c r="F104" t="s">
        <v>16</v>
      </c>
      <c r="G104">
        <v>4</v>
      </c>
    </row>
    <row r="105" spans="1:7">
      <c r="A105" t="s">
        <v>128</v>
      </c>
      <c r="B105" s="2" t="s">
        <v>121</v>
      </c>
      <c r="C105">
        <v>7</v>
      </c>
      <c r="D105" s="3">
        <v>55.96</v>
      </c>
      <c r="E105" t="s">
        <v>23</v>
      </c>
      <c r="F105" t="s">
        <v>16</v>
      </c>
      <c r="G105">
        <v>4</v>
      </c>
    </row>
    <row r="106" spans="1:7">
      <c r="A106" t="s">
        <v>129</v>
      </c>
      <c r="B106" s="2" t="s">
        <v>121</v>
      </c>
      <c r="C106">
        <v>8</v>
      </c>
      <c r="D106" s="3">
        <v>48.94</v>
      </c>
      <c r="E106" t="s">
        <v>23</v>
      </c>
      <c r="F106" t="s">
        <v>16</v>
      </c>
      <c r="G106">
        <v>4</v>
      </c>
    </row>
    <row r="107" spans="1:7">
      <c r="A107" t="s">
        <v>130</v>
      </c>
      <c r="B107" s="2" t="s">
        <v>121</v>
      </c>
      <c r="C107">
        <v>9</v>
      </c>
      <c r="D107" s="3">
        <v>2.35</v>
      </c>
      <c r="E107" t="s">
        <v>15</v>
      </c>
      <c r="F107" t="s">
        <v>16</v>
      </c>
      <c r="G107">
        <v>4</v>
      </c>
    </row>
    <row r="108" spans="1:7">
      <c r="A108" t="s">
        <v>131</v>
      </c>
      <c r="B108" s="2" t="s">
        <v>121</v>
      </c>
      <c r="C108">
        <v>10</v>
      </c>
      <c r="D108" s="3">
        <v>32.79</v>
      </c>
      <c r="E108" t="s">
        <v>106</v>
      </c>
      <c r="F108" t="s">
        <v>16</v>
      </c>
      <c r="G108">
        <v>4</v>
      </c>
    </row>
    <row r="109" spans="1:7">
      <c r="A109" t="s">
        <v>132</v>
      </c>
      <c r="B109" s="2" t="s">
        <v>121</v>
      </c>
      <c r="C109">
        <v>11</v>
      </c>
      <c r="D109" s="3">
        <v>1.69</v>
      </c>
      <c r="E109" t="s">
        <v>15</v>
      </c>
      <c r="F109" t="s">
        <v>16</v>
      </c>
      <c r="G109">
        <v>4</v>
      </c>
    </row>
    <row r="110" spans="1:7">
      <c r="A110" t="s">
        <v>133</v>
      </c>
      <c r="B110" s="2" t="s">
        <v>121</v>
      </c>
      <c r="C110">
        <v>12</v>
      </c>
      <c r="D110" s="3">
        <v>1.75</v>
      </c>
      <c r="E110" t="s">
        <v>15</v>
      </c>
      <c r="F110" t="s">
        <v>16</v>
      </c>
      <c r="G110">
        <v>4</v>
      </c>
    </row>
    <row r="111" spans="1:7">
      <c r="A111" t="s">
        <v>134</v>
      </c>
      <c r="B111" s="2" t="s">
        <v>121</v>
      </c>
      <c r="C111">
        <v>13</v>
      </c>
      <c r="D111" s="3">
        <v>27.4</v>
      </c>
      <c r="E111" t="s">
        <v>31</v>
      </c>
      <c r="F111" t="s">
        <v>16</v>
      </c>
      <c r="G111">
        <v>4</v>
      </c>
    </row>
    <row r="112" spans="1:7">
      <c r="A112" t="s">
        <v>135</v>
      </c>
      <c r="B112" s="2" t="s">
        <v>121</v>
      </c>
      <c r="C112">
        <v>14</v>
      </c>
      <c r="D112" s="3">
        <v>3.1</v>
      </c>
      <c r="E112" t="s">
        <v>15</v>
      </c>
      <c r="F112" t="s">
        <v>16</v>
      </c>
      <c r="G112">
        <v>4</v>
      </c>
    </row>
    <row r="113" spans="1:7">
      <c r="A113" t="s">
        <v>136</v>
      </c>
      <c r="B113" s="2" t="s">
        <v>121</v>
      </c>
      <c r="C113">
        <v>15</v>
      </c>
      <c r="D113" s="3">
        <v>1.1399999999999999</v>
      </c>
      <c r="E113" t="s">
        <v>15</v>
      </c>
      <c r="F113" t="s">
        <v>16</v>
      </c>
      <c r="G113">
        <v>4</v>
      </c>
    </row>
    <row r="114" spans="1:7">
      <c r="A114" t="s">
        <v>137</v>
      </c>
      <c r="B114" s="2" t="s">
        <v>121</v>
      </c>
      <c r="C114">
        <v>16</v>
      </c>
      <c r="D114" s="3">
        <v>1.9</v>
      </c>
      <c r="E114" t="s">
        <v>15</v>
      </c>
      <c r="F114" t="s">
        <v>16</v>
      </c>
      <c r="G114">
        <v>4</v>
      </c>
    </row>
    <row r="115" spans="1:7">
      <c r="A115" t="s">
        <v>138</v>
      </c>
      <c r="B115" s="2" t="s">
        <v>121</v>
      </c>
      <c r="C115">
        <v>17</v>
      </c>
      <c r="D115" s="3">
        <v>10.14</v>
      </c>
      <c r="E115" t="s">
        <v>36</v>
      </c>
      <c r="F115" t="s">
        <v>16</v>
      </c>
      <c r="G115">
        <v>4</v>
      </c>
    </row>
    <row r="116" spans="1:7">
      <c r="A116" t="s">
        <v>139</v>
      </c>
      <c r="B116" s="2" t="s">
        <v>121</v>
      </c>
      <c r="C116">
        <v>18</v>
      </c>
      <c r="D116" s="3">
        <v>18.95</v>
      </c>
      <c r="E116" t="s">
        <v>36</v>
      </c>
      <c r="F116" t="s">
        <v>16</v>
      </c>
      <c r="G116">
        <v>4</v>
      </c>
    </row>
    <row r="117" spans="1:7">
      <c r="A117" t="s">
        <v>140</v>
      </c>
      <c r="B117" s="2" t="s">
        <v>121</v>
      </c>
      <c r="C117">
        <v>19</v>
      </c>
      <c r="D117" s="3">
        <v>58.89</v>
      </c>
      <c r="E117" t="s">
        <v>39</v>
      </c>
      <c r="F117" t="s">
        <v>16</v>
      </c>
      <c r="G117">
        <v>4</v>
      </c>
    </row>
    <row r="118" spans="1:7">
      <c r="A118" t="s">
        <v>141</v>
      </c>
      <c r="B118" s="2" t="s">
        <v>121</v>
      </c>
      <c r="C118">
        <v>20</v>
      </c>
      <c r="D118" s="3">
        <v>45.16</v>
      </c>
      <c r="E118" t="s">
        <v>39</v>
      </c>
      <c r="F118" t="s">
        <v>16</v>
      </c>
      <c r="G118">
        <v>4</v>
      </c>
    </row>
    <row r="119" spans="1:7">
      <c r="A119" t="s">
        <v>142</v>
      </c>
      <c r="B119" s="2" t="s">
        <v>121</v>
      </c>
      <c r="C119">
        <v>21</v>
      </c>
      <c r="D119" s="3">
        <v>53.33</v>
      </c>
      <c r="E119" t="s">
        <v>39</v>
      </c>
      <c r="F119" t="s">
        <v>16</v>
      </c>
      <c r="G119">
        <v>4</v>
      </c>
    </row>
    <row r="120" spans="1:7">
      <c r="A120" t="s">
        <v>143</v>
      </c>
      <c r="B120" s="2" t="s">
        <v>121</v>
      </c>
      <c r="C120">
        <v>22</v>
      </c>
      <c r="D120" s="3">
        <v>2.25</v>
      </c>
      <c r="E120" t="s">
        <v>15</v>
      </c>
      <c r="F120" t="s">
        <v>16</v>
      </c>
      <c r="G120">
        <v>4</v>
      </c>
    </row>
    <row r="121" spans="1:7">
      <c r="A121" t="s">
        <v>144</v>
      </c>
      <c r="B121" s="2" t="s">
        <v>121</v>
      </c>
      <c r="C121">
        <v>23</v>
      </c>
      <c r="D121" s="3">
        <v>0.79</v>
      </c>
      <c r="E121" t="s">
        <v>15</v>
      </c>
      <c r="F121" t="s">
        <v>16</v>
      </c>
      <c r="G121">
        <v>4</v>
      </c>
    </row>
    <row r="122" spans="1:7">
      <c r="A122" t="s">
        <v>145</v>
      </c>
      <c r="B122" s="2" t="s">
        <v>146</v>
      </c>
      <c r="C122">
        <v>0</v>
      </c>
      <c r="D122" s="3">
        <v>14.74</v>
      </c>
      <c r="E122" t="s">
        <v>147</v>
      </c>
      <c r="F122" t="s">
        <v>148</v>
      </c>
      <c r="G122">
        <v>4</v>
      </c>
    </row>
    <row r="123" spans="1:7">
      <c r="A123" t="s">
        <v>149</v>
      </c>
      <c r="B123" s="2" t="s">
        <v>146</v>
      </c>
      <c r="C123">
        <v>1</v>
      </c>
      <c r="D123" s="3">
        <v>14.03</v>
      </c>
      <c r="E123" t="s">
        <v>147</v>
      </c>
      <c r="F123" t="s">
        <v>148</v>
      </c>
      <c r="G123">
        <v>4</v>
      </c>
    </row>
    <row r="124" spans="1:7">
      <c r="A124" t="s">
        <v>150</v>
      </c>
      <c r="B124" s="2" t="s">
        <v>146</v>
      </c>
      <c r="C124">
        <v>2</v>
      </c>
      <c r="D124" s="3">
        <v>14.79</v>
      </c>
      <c r="E124" t="s">
        <v>147</v>
      </c>
      <c r="F124" t="s">
        <v>148</v>
      </c>
      <c r="G124">
        <v>4</v>
      </c>
    </row>
    <row r="125" spans="1:7">
      <c r="A125" t="s">
        <v>151</v>
      </c>
      <c r="B125" s="2" t="s">
        <v>146</v>
      </c>
      <c r="C125">
        <v>3</v>
      </c>
      <c r="D125" s="3">
        <v>14</v>
      </c>
      <c r="E125" t="s">
        <v>147</v>
      </c>
      <c r="F125" t="s">
        <v>148</v>
      </c>
      <c r="G125">
        <v>4</v>
      </c>
    </row>
    <row r="126" spans="1:7">
      <c r="A126" t="s">
        <v>152</v>
      </c>
      <c r="B126" s="2" t="s">
        <v>146</v>
      </c>
      <c r="C126">
        <v>4</v>
      </c>
      <c r="D126" s="3">
        <v>12.3</v>
      </c>
      <c r="E126" t="s">
        <v>147</v>
      </c>
      <c r="F126" t="s">
        <v>148</v>
      </c>
      <c r="G126">
        <v>4</v>
      </c>
    </row>
    <row r="127" spans="1:7">
      <c r="A127" t="s">
        <v>153</v>
      </c>
      <c r="B127" s="2" t="s">
        <v>146</v>
      </c>
      <c r="C127">
        <v>5</v>
      </c>
      <c r="D127" s="3">
        <v>13.34</v>
      </c>
      <c r="E127" t="s">
        <v>147</v>
      </c>
      <c r="F127" t="s">
        <v>148</v>
      </c>
      <c r="G127">
        <v>4</v>
      </c>
    </row>
    <row r="128" spans="1:7">
      <c r="A128" t="s">
        <v>154</v>
      </c>
      <c r="B128" s="2" t="s">
        <v>146</v>
      </c>
      <c r="C128">
        <v>6</v>
      </c>
      <c r="D128" s="3">
        <v>42.51</v>
      </c>
      <c r="E128" t="s">
        <v>23</v>
      </c>
      <c r="F128" t="s">
        <v>16</v>
      </c>
      <c r="G128">
        <v>4</v>
      </c>
    </row>
    <row r="129" spans="1:7">
      <c r="A129" t="s">
        <v>155</v>
      </c>
      <c r="B129" s="2" t="s">
        <v>146</v>
      </c>
      <c r="C129">
        <v>7</v>
      </c>
      <c r="D129" s="3">
        <v>66.16</v>
      </c>
      <c r="E129" t="s">
        <v>23</v>
      </c>
      <c r="F129" t="s">
        <v>16</v>
      </c>
      <c r="G129">
        <v>4</v>
      </c>
    </row>
    <row r="130" spans="1:7">
      <c r="A130" t="s">
        <v>156</v>
      </c>
      <c r="B130" s="2" t="s">
        <v>146</v>
      </c>
      <c r="C130">
        <v>8</v>
      </c>
      <c r="D130" s="3">
        <v>64.849999999999994</v>
      </c>
      <c r="E130" t="s">
        <v>23</v>
      </c>
      <c r="F130" t="s">
        <v>16</v>
      </c>
      <c r="G130">
        <v>4</v>
      </c>
    </row>
    <row r="131" spans="1:7">
      <c r="A131" t="s">
        <v>157</v>
      </c>
      <c r="B131" s="2" t="s">
        <v>146</v>
      </c>
      <c r="C131">
        <v>9</v>
      </c>
      <c r="D131" s="3">
        <v>2.96</v>
      </c>
      <c r="E131" t="s">
        <v>15</v>
      </c>
      <c r="F131" t="s">
        <v>16</v>
      </c>
      <c r="G131">
        <v>4</v>
      </c>
    </row>
    <row r="132" spans="1:7">
      <c r="A132" t="s">
        <v>158</v>
      </c>
      <c r="B132" s="2" t="s">
        <v>146</v>
      </c>
      <c r="C132">
        <v>10</v>
      </c>
      <c r="D132" s="3">
        <v>1.28</v>
      </c>
      <c r="E132" t="s">
        <v>15</v>
      </c>
      <c r="F132" t="s">
        <v>16</v>
      </c>
      <c r="G132">
        <v>4</v>
      </c>
    </row>
    <row r="133" spans="1:7">
      <c r="A133" t="s">
        <v>159</v>
      </c>
      <c r="B133" s="2" t="s">
        <v>146</v>
      </c>
      <c r="C133">
        <v>11</v>
      </c>
      <c r="D133" s="3">
        <v>0.49</v>
      </c>
      <c r="E133" t="s">
        <v>15</v>
      </c>
      <c r="F133" t="s">
        <v>16</v>
      </c>
      <c r="G133">
        <v>4</v>
      </c>
    </row>
    <row r="134" spans="1:7">
      <c r="A134" t="s">
        <v>160</v>
      </c>
      <c r="B134" s="2" t="s">
        <v>146</v>
      </c>
      <c r="C134">
        <v>12</v>
      </c>
      <c r="D134" s="3">
        <v>3.11</v>
      </c>
      <c r="E134" t="s">
        <v>15</v>
      </c>
      <c r="F134" t="s">
        <v>16</v>
      </c>
      <c r="G134">
        <v>4</v>
      </c>
    </row>
    <row r="135" spans="1:7">
      <c r="A135" t="s">
        <v>161</v>
      </c>
      <c r="B135" s="2" t="s">
        <v>146</v>
      </c>
      <c r="C135">
        <v>13</v>
      </c>
      <c r="D135" s="3">
        <v>27.31</v>
      </c>
      <c r="E135" t="s">
        <v>31</v>
      </c>
      <c r="F135" t="s">
        <v>16</v>
      </c>
      <c r="G135">
        <v>4</v>
      </c>
    </row>
    <row r="136" spans="1:7">
      <c r="A136" t="s">
        <v>162</v>
      </c>
      <c r="B136" s="2" t="s">
        <v>146</v>
      </c>
      <c r="C136">
        <v>14</v>
      </c>
      <c r="D136" s="3">
        <v>0.56999999999999995</v>
      </c>
      <c r="E136" t="s">
        <v>15</v>
      </c>
      <c r="F136" t="s">
        <v>16</v>
      </c>
      <c r="G136">
        <v>4</v>
      </c>
    </row>
    <row r="137" spans="1:7">
      <c r="A137" t="s">
        <v>163</v>
      </c>
      <c r="B137" s="2" t="s">
        <v>146</v>
      </c>
      <c r="C137">
        <v>15</v>
      </c>
      <c r="D137" s="3">
        <v>1.86</v>
      </c>
      <c r="E137" t="s">
        <v>15</v>
      </c>
      <c r="F137" t="s">
        <v>16</v>
      </c>
      <c r="G137">
        <v>4</v>
      </c>
    </row>
    <row r="138" spans="1:7">
      <c r="A138" t="s">
        <v>164</v>
      </c>
      <c r="B138" s="2" t="s">
        <v>146</v>
      </c>
      <c r="C138">
        <v>16</v>
      </c>
      <c r="D138" s="3">
        <v>0.52</v>
      </c>
      <c r="E138" t="s">
        <v>15</v>
      </c>
      <c r="F138" t="s">
        <v>16</v>
      </c>
      <c r="G138">
        <v>4</v>
      </c>
    </row>
    <row r="139" spans="1:7">
      <c r="A139" t="s">
        <v>165</v>
      </c>
      <c r="B139" s="2" t="s">
        <v>146</v>
      </c>
      <c r="C139">
        <v>17</v>
      </c>
      <c r="D139" s="3">
        <v>17.13</v>
      </c>
      <c r="E139" t="s">
        <v>36</v>
      </c>
      <c r="F139" t="s">
        <v>16</v>
      </c>
      <c r="G139">
        <v>4</v>
      </c>
    </row>
    <row r="140" spans="1:7">
      <c r="A140" t="s">
        <v>166</v>
      </c>
      <c r="B140" s="2" t="s">
        <v>146</v>
      </c>
      <c r="C140">
        <v>18</v>
      </c>
      <c r="D140" s="3">
        <v>17.190000000000001</v>
      </c>
      <c r="E140" t="s">
        <v>36</v>
      </c>
      <c r="F140" t="s">
        <v>16</v>
      </c>
      <c r="G140">
        <v>4</v>
      </c>
    </row>
    <row r="141" spans="1:7">
      <c r="A141" t="s">
        <v>167</v>
      </c>
      <c r="B141" s="2" t="s">
        <v>146</v>
      </c>
      <c r="C141">
        <v>19</v>
      </c>
      <c r="D141" s="3">
        <v>41.08</v>
      </c>
      <c r="E141" t="s">
        <v>39</v>
      </c>
      <c r="F141" t="s">
        <v>16</v>
      </c>
      <c r="G141">
        <v>4</v>
      </c>
    </row>
    <row r="142" spans="1:7">
      <c r="A142" t="s">
        <v>168</v>
      </c>
      <c r="B142" s="2" t="s">
        <v>146</v>
      </c>
      <c r="C142">
        <v>20</v>
      </c>
      <c r="D142" s="3">
        <v>49.41</v>
      </c>
      <c r="E142" t="s">
        <v>39</v>
      </c>
      <c r="F142" t="s">
        <v>16</v>
      </c>
      <c r="G142">
        <v>4</v>
      </c>
    </row>
    <row r="143" spans="1:7">
      <c r="A143" t="s">
        <v>169</v>
      </c>
      <c r="B143" s="2" t="s">
        <v>146</v>
      </c>
      <c r="C143">
        <v>21</v>
      </c>
      <c r="D143" s="3">
        <v>51.2</v>
      </c>
      <c r="E143" t="s">
        <v>39</v>
      </c>
      <c r="F143" t="s">
        <v>16</v>
      </c>
      <c r="G143">
        <v>4</v>
      </c>
    </row>
    <row r="144" spans="1:7">
      <c r="A144" t="s">
        <v>170</v>
      </c>
      <c r="B144" s="2" t="s">
        <v>146</v>
      </c>
      <c r="C144">
        <v>22</v>
      </c>
      <c r="D144" s="3">
        <v>1.1499999999999999</v>
      </c>
      <c r="E144" t="s">
        <v>15</v>
      </c>
      <c r="F144" t="s">
        <v>16</v>
      </c>
      <c r="G144">
        <v>4</v>
      </c>
    </row>
    <row r="145" spans="1:7">
      <c r="A145" t="s">
        <v>171</v>
      </c>
      <c r="B145" s="2" t="s">
        <v>146</v>
      </c>
      <c r="C145">
        <v>23</v>
      </c>
      <c r="D145" s="3">
        <v>3.09</v>
      </c>
      <c r="E145" t="s">
        <v>15</v>
      </c>
      <c r="F145" t="s">
        <v>16</v>
      </c>
      <c r="G145">
        <v>4</v>
      </c>
    </row>
    <row r="146" spans="1:7">
      <c r="A146" t="s">
        <v>172</v>
      </c>
      <c r="B146" s="2" t="s">
        <v>173</v>
      </c>
      <c r="C146">
        <v>0</v>
      </c>
      <c r="D146" s="3">
        <v>1.65</v>
      </c>
      <c r="E146" t="s">
        <v>15</v>
      </c>
      <c r="F146" t="s">
        <v>16</v>
      </c>
      <c r="G146">
        <v>4</v>
      </c>
    </row>
    <row r="147" spans="1:7">
      <c r="A147" t="s">
        <v>174</v>
      </c>
      <c r="B147" s="2" t="s">
        <v>173</v>
      </c>
      <c r="C147">
        <v>1</v>
      </c>
      <c r="D147" s="3">
        <v>0.98</v>
      </c>
      <c r="E147" t="s">
        <v>15</v>
      </c>
      <c r="F147" t="s">
        <v>16</v>
      </c>
      <c r="G147">
        <v>4</v>
      </c>
    </row>
    <row r="148" spans="1:7">
      <c r="A148" t="s">
        <v>175</v>
      </c>
      <c r="B148" s="2" t="s">
        <v>173</v>
      </c>
      <c r="C148">
        <v>2</v>
      </c>
      <c r="D148" s="3">
        <v>2.0299999999999998</v>
      </c>
      <c r="E148" t="s">
        <v>15</v>
      </c>
      <c r="F148" t="s">
        <v>16</v>
      </c>
      <c r="G148">
        <v>4</v>
      </c>
    </row>
    <row r="149" spans="1:7">
      <c r="A149" t="s">
        <v>176</v>
      </c>
      <c r="B149" s="2" t="s">
        <v>173</v>
      </c>
      <c r="C149">
        <v>3</v>
      </c>
      <c r="D149" s="3">
        <v>2.64</v>
      </c>
      <c r="E149" t="s">
        <v>15</v>
      </c>
      <c r="F149" t="s">
        <v>16</v>
      </c>
      <c r="G149">
        <v>4</v>
      </c>
    </row>
    <row r="150" spans="1:7">
      <c r="A150" t="s">
        <v>177</v>
      </c>
      <c r="B150" s="2" t="s">
        <v>173</v>
      </c>
      <c r="C150">
        <v>4</v>
      </c>
      <c r="D150" s="3">
        <v>0.94</v>
      </c>
      <c r="E150" t="s">
        <v>15</v>
      </c>
      <c r="F150" t="s">
        <v>16</v>
      </c>
      <c r="G150">
        <v>4</v>
      </c>
    </row>
    <row r="151" spans="1:7">
      <c r="A151" t="s">
        <v>178</v>
      </c>
      <c r="B151" s="2" t="s">
        <v>173</v>
      </c>
      <c r="C151">
        <v>5</v>
      </c>
      <c r="D151" s="3">
        <v>1.3</v>
      </c>
      <c r="E151" t="s">
        <v>15</v>
      </c>
      <c r="F151" t="s">
        <v>16</v>
      </c>
      <c r="G151">
        <v>4</v>
      </c>
    </row>
    <row r="152" spans="1:7">
      <c r="A152" t="s">
        <v>179</v>
      </c>
      <c r="B152" s="2" t="s">
        <v>173</v>
      </c>
      <c r="C152">
        <v>6</v>
      </c>
      <c r="D152" s="3">
        <v>67.87</v>
      </c>
      <c r="E152" t="s">
        <v>23</v>
      </c>
      <c r="F152" t="s">
        <v>16</v>
      </c>
      <c r="G152">
        <v>4</v>
      </c>
    </row>
    <row r="153" spans="1:7">
      <c r="A153" t="s">
        <v>180</v>
      </c>
      <c r="B153" s="2" t="s">
        <v>173</v>
      </c>
      <c r="C153">
        <v>7</v>
      </c>
      <c r="D153" s="3">
        <v>58.9</v>
      </c>
      <c r="E153" t="s">
        <v>23</v>
      </c>
      <c r="F153" t="s">
        <v>16</v>
      </c>
      <c r="G153">
        <v>4</v>
      </c>
    </row>
    <row r="154" spans="1:7">
      <c r="A154" t="s">
        <v>181</v>
      </c>
      <c r="B154" s="2" t="s">
        <v>173</v>
      </c>
      <c r="C154">
        <v>8</v>
      </c>
      <c r="D154" s="3">
        <v>53.39</v>
      </c>
      <c r="E154" t="s">
        <v>23</v>
      </c>
      <c r="F154" t="s">
        <v>16</v>
      </c>
      <c r="G154">
        <v>4</v>
      </c>
    </row>
    <row r="155" spans="1:7">
      <c r="A155" t="s">
        <v>182</v>
      </c>
      <c r="B155" s="2" t="s">
        <v>173</v>
      </c>
      <c r="C155">
        <v>9</v>
      </c>
      <c r="D155" s="3">
        <v>1.96</v>
      </c>
      <c r="E155" t="s">
        <v>15</v>
      </c>
      <c r="F155" t="s">
        <v>16</v>
      </c>
      <c r="G155">
        <v>4</v>
      </c>
    </row>
    <row r="156" spans="1:7">
      <c r="A156" t="s">
        <v>183</v>
      </c>
      <c r="B156" s="2" t="s">
        <v>173</v>
      </c>
      <c r="C156">
        <v>10</v>
      </c>
      <c r="D156" s="3">
        <v>0.69</v>
      </c>
      <c r="E156" t="s">
        <v>15</v>
      </c>
      <c r="F156" t="s">
        <v>16</v>
      </c>
      <c r="G156">
        <v>4</v>
      </c>
    </row>
    <row r="157" spans="1:7">
      <c r="A157" t="s">
        <v>184</v>
      </c>
      <c r="B157" s="2" t="s">
        <v>173</v>
      </c>
      <c r="C157">
        <v>11</v>
      </c>
      <c r="D157" s="3">
        <v>1.02</v>
      </c>
      <c r="E157" t="s">
        <v>15</v>
      </c>
      <c r="F157" t="s">
        <v>16</v>
      </c>
      <c r="G157">
        <v>4</v>
      </c>
    </row>
    <row r="158" spans="1:7">
      <c r="A158" t="s">
        <v>185</v>
      </c>
      <c r="B158" s="2" t="s">
        <v>173</v>
      </c>
      <c r="C158">
        <v>12</v>
      </c>
      <c r="D158" s="3">
        <v>1.38</v>
      </c>
      <c r="E158" t="s">
        <v>15</v>
      </c>
      <c r="F158" t="s">
        <v>16</v>
      </c>
      <c r="G158">
        <v>4</v>
      </c>
    </row>
    <row r="159" spans="1:7">
      <c r="A159" t="s">
        <v>186</v>
      </c>
      <c r="B159" s="2" t="s">
        <v>173</v>
      </c>
      <c r="C159">
        <v>13</v>
      </c>
      <c r="D159" s="3">
        <v>22.65</v>
      </c>
      <c r="E159" t="s">
        <v>31</v>
      </c>
      <c r="F159" t="s">
        <v>16</v>
      </c>
      <c r="G159">
        <v>4</v>
      </c>
    </row>
    <row r="160" spans="1:7">
      <c r="A160" t="s">
        <v>187</v>
      </c>
      <c r="B160" s="2" t="s">
        <v>173</v>
      </c>
      <c r="C160">
        <v>14</v>
      </c>
      <c r="D160" s="3">
        <v>1.04</v>
      </c>
      <c r="E160" t="s">
        <v>15</v>
      </c>
      <c r="F160" t="s">
        <v>16</v>
      </c>
      <c r="G160">
        <v>4</v>
      </c>
    </row>
    <row r="161" spans="1:7">
      <c r="A161" t="s">
        <v>188</v>
      </c>
      <c r="B161" s="2" t="s">
        <v>173</v>
      </c>
      <c r="C161">
        <v>15</v>
      </c>
      <c r="D161" s="3">
        <v>1</v>
      </c>
      <c r="E161" t="s">
        <v>15</v>
      </c>
      <c r="F161" t="s">
        <v>16</v>
      </c>
      <c r="G161">
        <v>4</v>
      </c>
    </row>
    <row r="162" spans="1:7">
      <c r="A162" t="s">
        <v>189</v>
      </c>
      <c r="B162" s="2" t="s">
        <v>173</v>
      </c>
      <c r="C162">
        <v>16</v>
      </c>
      <c r="D162" s="3">
        <v>0.53</v>
      </c>
      <c r="E162" t="s">
        <v>15</v>
      </c>
      <c r="F162" t="s">
        <v>16</v>
      </c>
      <c r="G162">
        <v>4</v>
      </c>
    </row>
    <row r="163" spans="1:7">
      <c r="A163" t="s">
        <v>190</v>
      </c>
      <c r="B163" s="2" t="s">
        <v>173</v>
      </c>
      <c r="C163">
        <v>17</v>
      </c>
      <c r="D163" s="3">
        <v>15.57</v>
      </c>
      <c r="E163" t="s">
        <v>36</v>
      </c>
      <c r="F163" t="s">
        <v>16</v>
      </c>
      <c r="G163">
        <v>4</v>
      </c>
    </row>
    <row r="164" spans="1:7">
      <c r="A164" t="s">
        <v>191</v>
      </c>
      <c r="B164" s="2" t="s">
        <v>173</v>
      </c>
      <c r="C164">
        <v>18</v>
      </c>
      <c r="D164" s="3">
        <v>10.75</v>
      </c>
      <c r="E164" t="s">
        <v>36</v>
      </c>
      <c r="F164" t="s">
        <v>16</v>
      </c>
      <c r="G164">
        <v>4</v>
      </c>
    </row>
    <row r="165" spans="1:7">
      <c r="A165" t="s">
        <v>192</v>
      </c>
      <c r="B165" s="2" t="s">
        <v>173</v>
      </c>
      <c r="C165">
        <v>19</v>
      </c>
      <c r="D165" s="3">
        <v>59.73</v>
      </c>
      <c r="E165" t="s">
        <v>39</v>
      </c>
      <c r="F165" t="s">
        <v>16</v>
      </c>
      <c r="G165">
        <v>4</v>
      </c>
    </row>
    <row r="166" spans="1:7">
      <c r="A166" t="s">
        <v>193</v>
      </c>
      <c r="B166" s="2" t="s">
        <v>173</v>
      </c>
      <c r="C166">
        <v>20</v>
      </c>
      <c r="D166" s="3">
        <v>58.63</v>
      </c>
      <c r="E166" t="s">
        <v>39</v>
      </c>
      <c r="F166" t="s">
        <v>16</v>
      </c>
      <c r="G166">
        <v>4</v>
      </c>
    </row>
    <row r="167" spans="1:7">
      <c r="A167" t="s">
        <v>194</v>
      </c>
      <c r="B167" s="2" t="s">
        <v>173</v>
      </c>
      <c r="C167">
        <v>21</v>
      </c>
      <c r="D167" s="3">
        <v>39.700000000000003</v>
      </c>
      <c r="E167" t="s">
        <v>39</v>
      </c>
      <c r="F167" t="s">
        <v>16</v>
      </c>
      <c r="G167">
        <v>4</v>
      </c>
    </row>
    <row r="168" spans="1:7">
      <c r="A168" t="s">
        <v>195</v>
      </c>
      <c r="B168" s="2" t="s">
        <v>173</v>
      </c>
      <c r="C168">
        <v>22</v>
      </c>
      <c r="D168" s="3">
        <v>1.06</v>
      </c>
      <c r="E168" t="s">
        <v>15</v>
      </c>
      <c r="F168" t="s">
        <v>16</v>
      </c>
      <c r="G168">
        <v>4</v>
      </c>
    </row>
    <row r="169" spans="1:7">
      <c r="A169" t="s">
        <v>196</v>
      </c>
      <c r="B169" s="2" t="s">
        <v>173</v>
      </c>
      <c r="C169">
        <v>23</v>
      </c>
      <c r="D169" s="3">
        <v>2.44</v>
      </c>
      <c r="E169" t="s">
        <v>15</v>
      </c>
      <c r="F169" t="s">
        <v>16</v>
      </c>
      <c r="G169">
        <v>4</v>
      </c>
    </row>
    <row r="170" spans="1:7">
      <c r="A170" t="s">
        <v>197</v>
      </c>
      <c r="B170" s="2" t="s">
        <v>198</v>
      </c>
      <c r="C170">
        <v>0</v>
      </c>
      <c r="D170" s="3">
        <v>0.99</v>
      </c>
      <c r="E170" t="s">
        <v>15</v>
      </c>
      <c r="F170" t="s">
        <v>16</v>
      </c>
      <c r="G170">
        <v>4</v>
      </c>
    </row>
    <row r="171" spans="1:7">
      <c r="A171" t="s">
        <v>199</v>
      </c>
      <c r="B171" s="2" t="s">
        <v>198</v>
      </c>
      <c r="C171">
        <v>1</v>
      </c>
      <c r="D171" s="3">
        <v>0.72</v>
      </c>
      <c r="E171" t="s">
        <v>15</v>
      </c>
      <c r="F171" t="s">
        <v>16</v>
      </c>
      <c r="G171">
        <v>4</v>
      </c>
    </row>
    <row r="172" spans="1:7">
      <c r="A172" t="s">
        <v>200</v>
      </c>
      <c r="B172" s="2" t="s">
        <v>198</v>
      </c>
      <c r="C172">
        <v>2</v>
      </c>
      <c r="D172" s="3">
        <v>3.29</v>
      </c>
      <c r="E172" t="s">
        <v>15</v>
      </c>
      <c r="F172" t="s">
        <v>16</v>
      </c>
      <c r="G172">
        <v>4</v>
      </c>
    </row>
    <row r="173" spans="1:7">
      <c r="A173" t="s">
        <v>201</v>
      </c>
      <c r="B173" s="2" t="s">
        <v>198</v>
      </c>
      <c r="C173">
        <v>3</v>
      </c>
      <c r="D173" s="3">
        <v>2.13</v>
      </c>
      <c r="E173" t="s">
        <v>15</v>
      </c>
      <c r="F173" t="s">
        <v>16</v>
      </c>
      <c r="G173">
        <v>4</v>
      </c>
    </row>
    <row r="174" spans="1:7">
      <c r="A174" t="s">
        <v>202</v>
      </c>
      <c r="B174" s="2" t="s">
        <v>198</v>
      </c>
      <c r="C174">
        <v>4</v>
      </c>
      <c r="D174" s="3">
        <v>1.81</v>
      </c>
      <c r="E174" t="s">
        <v>15</v>
      </c>
      <c r="F174" t="s">
        <v>16</v>
      </c>
      <c r="G174">
        <v>4</v>
      </c>
    </row>
    <row r="175" spans="1:7">
      <c r="A175" t="s">
        <v>203</v>
      </c>
      <c r="B175" s="2" t="s">
        <v>198</v>
      </c>
      <c r="C175">
        <v>5</v>
      </c>
      <c r="D175" s="3">
        <v>2.81</v>
      </c>
      <c r="E175" t="s">
        <v>15</v>
      </c>
      <c r="F175" t="s">
        <v>16</v>
      </c>
      <c r="G175">
        <v>4</v>
      </c>
    </row>
    <row r="176" spans="1:7">
      <c r="A176" t="s">
        <v>204</v>
      </c>
      <c r="B176" s="2" t="s">
        <v>198</v>
      </c>
      <c r="C176">
        <v>6</v>
      </c>
      <c r="D176" s="3">
        <v>62.99</v>
      </c>
      <c r="E176" t="s">
        <v>23</v>
      </c>
      <c r="F176" t="s">
        <v>16</v>
      </c>
      <c r="G176">
        <v>4</v>
      </c>
    </row>
    <row r="177" spans="1:7">
      <c r="A177" t="s">
        <v>205</v>
      </c>
      <c r="B177" s="2" t="s">
        <v>198</v>
      </c>
      <c r="C177">
        <v>7</v>
      </c>
      <c r="D177" s="3">
        <v>46.95</v>
      </c>
      <c r="E177" t="s">
        <v>23</v>
      </c>
      <c r="F177" t="s">
        <v>16</v>
      </c>
      <c r="G177">
        <v>4</v>
      </c>
    </row>
    <row r="178" spans="1:7">
      <c r="A178" t="s">
        <v>206</v>
      </c>
      <c r="B178" s="2" t="s">
        <v>198</v>
      </c>
      <c r="C178">
        <v>8</v>
      </c>
      <c r="D178" s="3">
        <v>44.52</v>
      </c>
      <c r="E178" t="s">
        <v>23</v>
      </c>
      <c r="F178" t="s">
        <v>16</v>
      </c>
      <c r="G178">
        <v>4</v>
      </c>
    </row>
    <row r="179" spans="1:7">
      <c r="A179" t="s">
        <v>207</v>
      </c>
      <c r="B179" s="2" t="s">
        <v>198</v>
      </c>
      <c r="C179">
        <v>9</v>
      </c>
      <c r="D179" s="3">
        <v>1.68</v>
      </c>
      <c r="E179" t="s">
        <v>15</v>
      </c>
      <c r="F179" t="s">
        <v>16</v>
      </c>
      <c r="G179">
        <v>4</v>
      </c>
    </row>
    <row r="180" spans="1:7">
      <c r="A180" t="s">
        <v>208</v>
      </c>
      <c r="B180" s="2" t="s">
        <v>198</v>
      </c>
      <c r="C180">
        <v>10</v>
      </c>
      <c r="D180" s="3">
        <v>1.66</v>
      </c>
      <c r="E180" t="s">
        <v>15</v>
      </c>
      <c r="F180" t="s">
        <v>16</v>
      </c>
      <c r="G180">
        <v>4</v>
      </c>
    </row>
    <row r="181" spans="1:7">
      <c r="A181" t="s">
        <v>209</v>
      </c>
      <c r="B181" s="2" t="s">
        <v>198</v>
      </c>
      <c r="C181">
        <v>11</v>
      </c>
      <c r="D181" s="3">
        <v>1.79</v>
      </c>
      <c r="E181" t="s">
        <v>15</v>
      </c>
      <c r="F181" t="s">
        <v>16</v>
      </c>
      <c r="G181">
        <v>4</v>
      </c>
    </row>
    <row r="182" spans="1:7">
      <c r="A182" t="s">
        <v>210</v>
      </c>
      <c r="B182" s="2" t="s">
        <v>198</v>
      </c>
      <c r="C182">
        <v>12</v>
      </c>
      <c r="D182" s="3">
        <v>2.63</v>
      </c>
      <c r="E182" t="s">
        <v>15</v>
      </c>
      <c r="F182" t="s">
        <v>16</v>
      </c>
      <c r="G182">
        <v>4</v>
      </c>
    </row>
    <row r="183" spans="1:7">
      <c r="A183" t="s">
        <v>211</v>
      </c>
      <c r="B183" s="2" t="s">
        <v>198</v>
      </c>
      <c r="C183">
        <v>13</v>
      </c>
      <c r="D183" s="3">
        <v>23.75</v>
      </c>
      <c r="E183" t="s">
        <v>31</v>
      </c>
      <c r="F183" t="s">
        <v>16</v>
      </c>
      <c r="G183">
        <v>4</v>
      </c>
    </row>
    <row r="184" spans="1:7">
      <c r="A184" t="s">
        <v>212</v>
      </c>
      <c r="B184" s="2" t="s">
        <v>198</v>
      </c>
      <c r="C184">
        <v>14</v>
      </c>
      <c r="D184" s="3">
        <v>3.45</v>
      </c>
      <c r="E184" t="s">
        <v>15</v>
      </c>
      <c r="F184" t="s">
        <v>16</v>
      </c>
      <c r="G184">
        <v>4</v>
      </c>
    </row>
    <row r="185" spans="1:7">
      <c r="A185" t="s">
        <v>213</v>
      </c>
      <c r="B185" s="2" t="s">
        <v>198</v>
      </c>
      <c r="C185">
        <v>15</v>
      </c>
      <c r="D185" s="3">
        <v>0.61</v>
      </c>
      <c r="E185" t="s">
        <v>15</v>
      </c>
      <c r="F185" t="s">
        <v>16</v>
      </c>
      <c r="G185">
        <v>4</v>
      </c>
    </row>
    <row r="186" spans="1:7">
      <c r="A186" t="s">
        <v>214</v>
      </c>
      <c r="B186" s="2" t="s">
        <v>198</v>
      </c>
      <c r="C186">
        <v>16</v>
      </c>
      <c r="D186" s="3">
        <v>1.59</v>
      </c>
      <c r="E186" t="s">
        <v>15</v>
      </c>
      <c r="F186" t="s">
        <v>16</v>
      </c>
      <c r="G186">
        <v>4</v>
      </c>
    </row>
    <row r="187" spans="1:7">
      <c r="A187" t="s">
        <v>215</v>
      </c>
      <c r="B187" s="2" t="s">
        <v>198</v>
      </c>
      <c r="C187">
        <v>17</v>
      </c>
      <c r="D187" s="3">
        <v>12.07</v>
      </c>
      <c r="E187" t="s">
        <v>36</v>
      </c>
      <c r="F187" t="s">
        <v>16</v>
      </c>
      <c r="G187">
        <v>4</v>
      </c>
    </row>
    <row r="188" spans="1:7">
      <c r="A188" t="s">
        <v>216</v>
      </c>
      <c r="B188" s="2" t="s">
        <v>198</v>
      </c>
      <c r="C188">
        <v>18</v>
      </c>
      <c r="D188" s="3">
        <v>18.34</v>
      </c>
      <c r="E188" t="s">
        <v>36</v>
      </c>
      <c r="F188" t="s">
        <v>16</v>
      </c>
      <c r="G188">
        <v>4</v>
      </c>
    </row>
    <row r="189" spans="1:7">
      <c r="A189" t="s">
        <v>217</v>
      </c>
      <c r="B189" s="2" t="s">
        <v>198</v>
      </c>
      <c r="C189">
        <v>19</v>
      </c>
      <c r="D189" s="3">
        <v>43.97</v>
      </c>
      <c r="E189" t="s">
        <v>39</v>
      </c>
      <c r="F189" t="s">
        <v>16</v>
      </c>
      <c r="G189">
        <v>4</v>
      </c>
    </row>
    <row r="190" spans="1:7">
      <c r="A190" t="s">
        <v>218</v>
      </c>
      <c r="B190" s="2" t="s">
        <v>198</v>
      </c>
      <c r="C190">
        <v>20</v>
      </c>
      <c r="D190" s="3">
        <v>42.57</v>
      </c>
      <c r="E190" t="s">
        <v>39</v>
      </c>
      <c r="F190" t="s">
        <v>16</v>
      </c>
      <c r="G190">
        <v>4</v>
      </c>
    </row>
    <row r="191" spans="1:7">
      <c r="A191" t="s">
        <v>219</v>
      </c>
      <c r="B191" s="2" t="s">
        <v>198</v>
      </c>
      <c r="C191">
        <v>21</v>
      </c>
      <c r="D191" s="3">
        <v>48.77</v>
      </c>
      <c r="E191" t="s">
        <v>39</v>
      </c>
      <c r="F191" t="s">
        <v>16</v>
      </c>
      <c r="G191">
        <v>4</v>
      </c>
    </row>
    <row r="192" spans="1:7">
      <c r="A192" t="s">
        <v>220</v>
      </c>
      <c r="B192" s="2" t="s">
        <v>198</v>
      </c>
      <c r="C192">
        <v>22</v>
      </c>
      <c r="D192" s="3">
        <v>1.65</v>
      </c>
      <c r="E192" t="s">
        <v>15</v>
      </c>
      <c r="F192" t="s">
        <v>16</v>
      </c>
      <c r="G192">
        <v>4</v>
      </c>
    </row>
    <row r="193" spans="1:7">
      <c r="A193" t="s">
        <v>221</v>
      </c>
      <c r="B193" s="2" t="s">
        <v>198</v>
      </c>
      <c r="C193">
        <v>23</v>
      </c>
      <c r="D193" s="3">
        <v>1.19</v>
      </c>
      <c r="E193" t="s">
        <v>15</v>
      </c>
      <c r="F193" t="s">
        <v>16</v>
      </c>
      <c r="G193">
        <v>4</v>
      </c>
    </row>
    <row r="194" spans="1:7">
      <c r="A194" t="s">
        <v>222</v>
      </c>
      <c r="B194" s="2" t="s">
        <v>223</v>
      </c>
      <c r="C194">
        <v>0</v>
      </c>
      <c r="D194" s="3">
        <v>1.1000000000000001</v>
      </c>
      <c r="E194" t="s">
        <v>15</v>
      </c>
      <c r="F194" t="s">
        <v>16</v>
      </c>
      <c r="G194">
        <v>4</v>
      </c>
    </row>
    <row r="195" spans="1:7">
      <c r="A195" t="s">
        <v>224</v>
      </c>
      <c r="B195" s="2" t="s">
        <v>223</v>
      </c>
      <c r="C195">
        <v>1</v>
      </c>
      <c r="D195" s="3">
        <v>3.25</v>
      </c>
      <c r="E195" t="s">
        <v>15</v>
      </c>
      <c r="F195" t="s">
        <v>16</v>
      </c>
      <c r="G195">
        <v>4</v>
      </c>
    </row>
    <row r="196" spans="1:7">
      <c r="A196" t="s">
        <v>225</v>
      </c>
      <c r="B196" s="2" t="s">
        <v>223</v>
      </c>
      <c r="C196">
        <v>2</v>
      </c>
      <c r="D196" s="3">
        <v>1.72</v>
      </c>
      <c r="E196" t="s">
        <v>15</v>
      </c>
      <c r="F196" t="s">
        <v>16</v>
      </c>
      <c r="G196">
        <v>4</v>
      </c>
    </row>
    <row r="197" spans="1:7">
      <c r="A197" t="s">
        <v>226</v>
      </c>
      <c r="B197" s="2" t="s">
        <v>223</v>
      </c>
      <c r="C197">
        <v>3</v>
      </c>
      <c r="D197" s="3">
        <v>3.06</v>
      </c>
      <c r="E197" t="s">
        <v>15</v>
      </c>
      <c r="F197" t="s">
        <v>16</v>
      </c>
      <c r="G197">
        <v>4</v>
      </c>
    </row>
    <row r="198" spans="1:7">
      <c r="A198" t="s">
        <v>227</v>
      </c>
      <c r="B198" s="2" t="s">
        <v>223</v>
      </c>
      <c r="C198">
        <v>4</v>
      </c>
      <c r="D198" s="3">
        <v>2.06</v>
      </c>
      <c r="E198" t="s">
        <v>15</v>
      </c>
      <c r="F198" t="s">
        <v>16</v>
      </c>
      <c r="G198">
        <v>4</v>
      </c>
    </row>
    <row r="199" spans="1:7">
      <c r="A199" t="s">
        <v>228</v>
      </c>
      <c r="B199" s="2" t="s">
        <v>223</v>
      </c>
      <c r="C199">
        <v>5</v>
      </c>
      <c r="D199" s="3">
        <v>0.46</v>
      </c>
      <c r="E199" t="s">
        <v>15</v>
      </c>
      <c r="F199" t="s">
        <v>16</v>
      </c>
      <c r="G199">
        <v>4</v>
      </c>
    </row>
    <row r="200" spans="1:7">
      <c r="A200" t="s">
        <v>229</v>
      </c>
      <c r="B200" s="2" t="s">
        <v>223</v>
      </c>
      <c r="C200">
        <v>6</v>
      </c>
      <c r="D200" s="3">
        <v>67.98</v>
      </c>
      <c r="E200" t="s">
        <v>23</v>
      </c>
      <c r="F200" t="s">
        <v>16</v>
      </c>
      <c r="G200">
        <v>4</v>
      </c>
    </row>
    <row r="201" spans="1:7">
      <c r="A201" t="s">
        <v>230</v>
      </c>
      <c r="B201" s="2" t="s">
        <v>223</v>
      </c>
      <c r="C201">
        <v>7</v>
      </c>
      <c r="D201" s="3">
        <v>63.74</v>
      </c>
      <c r="E201" t="s">
        <v>23</v>
      </c>
      <c r="F201" t="s">
        <v>16</v>
      </c>
      <c r="G201">
        <v>4</v>
      </c>
    </row>
    <row r="202" spans="1:7">
      <c r="A202" t="s">
        <v>231</v>
      </c>
      <c r="B202" s="2" t="s">
        <v>223</v>
      </c>
      <c r="C202">
        <v>8</v>
      </c>
      <c r="D202" s="3">
        <v>67.19</v>
      </c>
      <c r="E202" t="s">
        <v>23</v>
      </c>
      <c r="F202" t="s">
        <v>16</v>
      </c>
      <c r="G202">
        <v>4</v>
      </c>
    </row>
    <row r="203" spans="1:7">
      <c r="A203" t="s">
        <v>232</v>
      </c>
      <c r="B203" s="2" t="s">
        <v>223</v>
      </c>
      <c r="C203">
        <v>9</v>
      </c>
      <c r="D203" s="3">
        <v>3.26</v>
      </c>
      <c r="E203" t="s">
        <v>15</v>
      </c>
      <c r="F203" t="s">
        <v>16</v>
      </c>
      <c r="G203">
        <v>4</v>
      </c>
    </row>
    <row r="204" spans="1:7">
      <c r="A204" t="s">
        <v>233</v>
      </c>
      <c r="B204" s="2" t="s">
        <v>223</v>
      </c>
      <c r="C204">
        <v>10</v>
      </c>
      <c r="D204" s="3">
        <v>3.02</v>
      </c>
      <c r="E204" t="s">
        <v>15</v>
      </c>
      <c r="F204" t="s">
        <v>16</v>
      </c>
      <c r="G204">
        <v>4</v>
      </c>
    </row>
    <row r="205" spans="1:7">
      <c r="A205" t="s">
        <v>234</v>
      </c>
      <c r="B205" s="2" t="s">
        <v>223</v>
      </c>
      <c r="C205">
        <v>11</v>
      </c>
      <c r="D205" s="3">
        <v>0.83</v>
      </c>
      <c r="E205" t="s">
        <v>15</v>
      </c>
      <c r="F205" t="s">
        <v>16</v>
      </c>
      <c r="G205">
        <v>4</v>
      </c>
    </row>
    <row r="206" spans="1:7">
      <c r="A206" t="s">
        <v>235</v>
      </c>
      <c r="B206" s="2" t="s">
        <v>223</v>
      </c>
      <c r="C206">
        <v>12</v>
      </c>
      <c r="D206" s="3">
        <v>1.85</v>
      </c>
      <c r="E206" t="s">
        <v>15</v>
      </c>
      <c r="F206" t="s">
        <v>16</v>
      </c>
      <c r="G206">
        <v>4</v>
      </c>
    </row>
    <row r="207" spans="1:7">
      <c r="A207" t="s">
        <v>236</v>
      </c>
      <c r="B207" s="2" t="s">
        <v>223</v>
      </c>
      <c r="C207">
        <v>13</v>
      </c>
      <c r="D207" s="3">
        <v>17.78</v>
      </c>
      <c r="E207" t="s">
        <v>31</v>
      </c>
      <c r="F207" t="s">
        <v>16</v>
      </c>
      <c r="G207">
        <v>4</v>
      </c>
    </row>
    <row r="208" spans="1:7">
      <c r="A208" t="s">
        <v>237</v>
      </c>
      <c r="B208" s="2" t="s">
        <v>223</v>
      </c>
      <c r="C208">
        <v>14</v>
      </c>
      <c r="D208" s="3">
        <v>1.58</v>
      </c>
      <c r="E208" t="s">
        <v>15</v>
      </c>
      <c r="F208" t="s">
        <v>16</v>
      </c>
      <c r="G208">
        <v>4</v>
      </c>
    </row>
    <row r="209" spans="1:7">
      <c r="A209" t="s">
        <v>238</v>
      </c>
      <c r="B209" s="2" t="s">
        <v>223</v>
      </c>
      <c r="C209">
        <v>15</v>
      </c>
      <c r="D209" s="3">
        <v>0.49</v>
      </c>
      <c r="E209" t="s">
        <v>15</v>
      </c>
      <c r="F209" t="s">
        <v>16</v>
      </c>
      <c r="G209">
        <v>4</v>
      </c>
    </row>
    <row r="210" spans="1:7">
      <c r="A210" t="s">
        <v>239</v>
      </c>
      <c r="B210" s="2" t="s">
        <v>223</v>
      </c>
      <c r="C210">
        <v>16</v>
      </c>
      <c r="D210" s="3">
        <v>1.51</v>
      </c>
      <c r="E210" t="s">
        <v>15</v>
      </c>
      <c r="F210" t="s">
        <v>16</v>
      </c>
      <c r="G210">
        <v>4</v>
      </c>
    </row>
    <row r="211" spans="1:7">
      <c r="A211" t="s">
        <v>240</v>
      </c>
      <c r="B211" s="2" t="s">
        <v>223</v>
      </c>
      <c r="C211">
        <v>17</v>
      </c>
      <c r="D211" s="3">
        <v>19.82</v>
      </c>
      <c r="E211" t="s">
        <v>36</v>
      </c>
      <c r="F211" t="s">
        <v>16</v>
      </c>
      <c r="G211">
        <v>4</v>
      </c>
    </row>
    <row r="212" spans="1:7">
      <c r="A212" t="s">
        <v>241</v>
      </c>
      <c r="B212" s="2" t="s">
        <v>223</v>
      </c>
      <c r="C212">
        <v>18</v>
      </c>
      <c r="D212" s="3">
        <v>11.18</v>
      </c>
      <c r="E212" t="s">
        <v>36</v>
      </c>
      <c r="F212" t="s">
        <v>16</v>
      </c>
      <c r="G212">
        <v>4</v>
      </c>
    </row>
    <row r="213" spans="1:7">
      <c r="A213" t="s">
        <v>242</v>
      </c>
      <c r="B213" s="2" t="s">
        <v>223</v>
      </c>
      <c r="C213">
        <v>19</v>
      </c>
      <c r="D213" s="3">
        <v>56.82</v>
      </c>
      <c r="E213" t="s">
        <v>39</v>
      </c>
      <c r="F213" t="s">
        <v>16</v>
      </c>
      <c r="G213">
        <v>4</v>
      </c>
    </row>
    <row r="214" spans="1:7">
      <c r="A214" t="s">
        <v>243</v>
      </c>
      <c r="B214" s="2" t="s">
        <v>223</v>
      </c>
      <c r="C214">
        <v>20</v>
      </c>
      <c r="D214" s="3">
        <v>48.92</v>
      </c>
      <c r="E214" t="s">
        <v>39</v>
      </c>
      <c r="F214" t="s">
        <v>16</v>
      </c>
      <c r="G214">
        <v>4</v>
      </c>
    </row>
    <row r="215" spans="1:7">
      <c r="A215" t="s">
        <v>244</v>
      </c>
      <c r="B215" s="2" t="s">
        <v>223</v>
      </c>
      <c r="C215">
        <v>21</v>
      </c>
      <c r="D215" s="3">
        <v>48.15</v>
      </c>
      <c r="E215" t="s">
        <v>39</v>
      </c>
      <c r="F215" t="s">
        <v>16</v>
      </c>
      <c r="G215">
        <v>4</v>
      </c>
    </row>
    <row r="216" spans="1:7">
      <c r="A216" t="s">
        <v>245</v>
      </c>
      <c r="B216" s="2" t="s">
        <v>223</v>
      </c>
      <c r="C216">
        <v>22</v>
      </c>
      <c r="D216" s="3">
        <v>3.36</v>
      </c>
      <c r="E216" t="s">
        <v>15</v>
      </c>
      <c r="F216" t="s">
        <v>16</v>
      </c>
      <c r="G216">
        <v>4</v>
      </c>
    </row>
    <row r="217" spans="1:7">
      <c r="A217" t="s">
        <v>246</v>
      </c>
      <c r="B217" s="2" t="s">
        <v>223</v>
      </c>
      <c r="C217">
        <v>23</v>
      </c>
      <c r="D217" s="3">
        <v>3.49</v>
      </c>
      <c r="E217" t="s">
        <v>15</v>
      </c>
      <c r="F217" t="s">
        <v>16</v>
      </c>
      <c r="G217">
        <v>4</v>
      </c>
    </row>
    <row r="218" spans="1:7">
      <c r="A218" t="s">
        <v>247</v>
      </c>
      <c r="B218" s="2" t="s">
        <v>248</v>
      </c>
      <c r="C218">
        <v>0</v>
      </c>
      <c r="D218" s="3">
        <v>2.08</v>
      </c>
      <c r="E218" t="s">
        <v>15</v>
      </c>
      <c r="F218" t="s">
        <v>16</v>
      </c>
      <c r="G218">
        <v>4</v>
      </c>
    </row>
    <row r="219" spans="1:7">
      <c r="A219" t="s">
        <v>249</v>
      </c>
      <c r="B219" s="2" t="s">
        <v>248</v>
      </c>
      <c r="C219">
        <v>1</v>
      </c>
      <c r="D219" s="3">
        <v>2.6</v>
      </c>
      <c r="E219" t="s">
        <v>15</v>
      </c>
      <c r="F219" t="s">
        <v>16</v>
      </c>
      <c r="G219">
        <v>4</v>
      </c>
    </row>
    <row r="220" spans="1:7">
      <c r="A220" t="s">
        <v>250</v>
      </c>
      <c r="B220" s="2" t="s">
        <v>248</v>
      </c>
      <c r="C220">
        <v>2</v>
      </c>
      <c r="D220" s="3">
        <v>0.8</v>
      </c>
      <c r="E220" t="s">
        <v>15</v>
      </c>
      <c r="F220" t="s">
        <v>16</v>
      </c>
      <c r="G220">
        <v>4</v>
      </c>
    </row>
    <row r="221" spans="1:7">
      <c r="A221" t="s">
        <v>251</v>
      </c>
      <c r="B221" s="2" t="s">
        <v>248</v>
      </c>
      <c r="C221">
        <v>3</v>
      </c>
      <c r="D221" s="3">
        <v>1.25</v>
      </c>
      <c r="E221" t="s">
        <v>15</v>
      </c>
      <c r="F221" t="s">
        <v>16</v>
      </c>
      <c r="G221">
        <v>4</v>
      </c>
    </row>
    <row r="222" spans="1:7">
      <c r="A222" t="s">
        <v>252</v>
      </c>
      <c r="B222" s="2" t="s">
        <v>248</v>
      </c>
      <c r="C222">
        <v>4</v>
      </c>
      <c r="D222" s="3">
        <v>3.4</v>
      </c>
      <c r="E222" t="s">
        <v>15</v>
      </c>
      <c r="F222" t="s">
        <v>16</v>
      </c>
      <c r="G222">
        <v>4</v>
      </c>
    </row>
    <row r="223" spans="1:7">
      <c r="A223" t="s">
        <v>253</v>
      </c>
      <c r="B223" s="2" t="s">
        <v>248</v>
      </c>
      <c r="C223">
        <v>5</v>
      </c>
      <c r="D223" s="3">
        <v>2.15</v>
      </c>
      <c r="E223" t="s">
        <v>15</v>
      </c>
      <c r="F223" t="s">
        <v>16</v>
      </c>
      <c r="G223">
        <v>4</v>
      </c>
    </row>
    <row r="224" spans="1:7">
      <c r="A224" t="s">
        <v>254</v>
      </c>
      <c r="B224" s="2" t="s">
        <v>248</v>
      </c>
      <c r="C224">
        <v>6</v>
      </c>
      <c r="D224" s="3">
        <v>56.1</v>
      </c>
      <c r="E224" t="s">
        <v>23</v>
      </c>
      <c r="F224" t="s">
        <v>16</v>
      </c>
      <c r="G224">
        <v>4</v>
      </c>
    </row>
    <row r="225" spans="1:7">
      <c r="A225" t="s">
        <v>255</v>
      </c>
      <c r="B225" s="2" t="s">
        <v>248</v>
      </c>
      <c r="C225">
        <v>7</v>
      </c>
      <c r="D225" s="3">
        <v>61.45</v>
      </c>
      <c r="E225" t="s">
        <v>23</v>
      </c>
      <c r="F225" t="s">
        <v>16</v>
      </c>
      <c r="G225">
        <v>4</v>
      </c>
    </row>
    <row r="226" spans="1:7">
      <c r="A226" t="s">
        <v>256</v>
      </c>
      <c r="B226" s="2" t="s">
        <v>248</v>
      </c>
      <c r="C226">
        <v>8</v>
      </c>
      <c r="D226" s="3">
        <v>43.49</v>
      </c>
      <c r="E226" t="s">
        <v>23</v>
      </c>
      <c r="F226" t="s">
        <v>16</v>
      </c>
      <c r="G226">
        <v>4</v>
      </c>
    </row>
    <row r="227" spans="1:7">
      <c r="A227" t="s">
        <v>257</v>
      </c>
      <c r="B227" s="2" t="s">
        <v>248</v>
      </c>
      <c r="C227">
        <v>9</v>
      </c>
      <c r="D227" s="3">
        <v>2.17</v>
      </c>
      <c r="E227" t="s">
        <v>15</v>
      </c>
      <c r="F227" t="s">
        <v>16</v>
      </c>
      <c r="G227">
        <v>4</v>
      </c>
    </row>
    <row r="228" spans="1:7">
      <c r="A228" t="s">
        <v>258</v>
      </c>
      <c r="B228" s="2" t="s">
        <v>248</v>
      </c>
      <c r="C228">
        <v>10</v>
      </c>
      <c r="D228" s="3">
        <v>1.91</v>
      </c>
      <c r="E228" t="s">
        <v>15</v>
      </c>
      <c r="F228" t="s">
        <v>16</v>
      </c>
      <c r="G228">
        <v>4</v>
      </c>
    </row>
    <row r="229" spans="1:7">
      <c r="A229" t="s">
        <v>259</v>
      </c>
      <c r="B229" s="2" t="s">
        <v>248</v>
      </c>
      <c r="C229">
        <v>11</v>
      </c>
      <c r="D229" s="3">
        <v>3.03</v>
      </c>
      <c r="E229" t="s">
        <v>15</v>
      </c>
      <c r="F229" t="s">
        <v>16</v>
      </c>
      <c r="G229">
        <v>4</v>
      </c>
    </row>
    <row r="230" spans="1:7">
      <c r="A230" t="s">
        <v>260</v>
      </c>
      <c r="B230" s="2" t="s">
        <v>248</v>
      </c>
      <c r="C230">
        <v>12</v>
      </c>
      <c r="D230" s="3">
        <v>0.8</v>
      </c>
      <c r="E230" t="s">
        <v>15</v>
      </c>
      <c r="F230" t="s">
        <v>16</v>
      </c>
      <c r="G230">
        <v>4</v>
      </c>
    </row>
    <row r="231" spans="1:7">
      <c r="A231" t="s">
        <v>261</v>
      </c>
      <c r="B231" s="2" t="s">
        <v>248</v>
      </c>
      <c r="C231">
        <v>13</v>
      </c>
      <c r="D231" s="3">
        <v>27.49</v>
      </c>
      <c r="E231" t="s">
        <v>31</v>
      </c>
      <c r="F231" t="s">
        <v>16</v>
      </c>
      <c r="G231">
        <v>4</v>
      </c>
    </row>
    <row r="232" spans="1:7">
      <c r="A232" t="s">
        <v>262</v>
      </c>
      <c r="B232" s="2" t="s">
        <v>248</v>
      </c>
      <c r="C232">
        <v>14</v>
      </c>
      <c r="D232" s="3">
        <v>0.56000000000000005</v>
      </c>
      <c r="E232" t="s">
        <v>15</v>
      </c>
      <c r="F232" t="s">
        <v>16</v>
      </c>
      <c r="G232">
        <v>4</v>
      </c>
    </row>
    <row r="233" spans="1:7">
      <c r="A233" t="s">
        <v>263</v>
      </c>
      <c r="B233" s="2" t="s">
        <v>248</v>
      </c>
      <c r="C233">
        <v>15</v>
      </c>
      <c r="D233" s="3">
        <v>0.89</v>
      </c>
      <c r="E233" t="s">
        <v>15</v>
      </c>
      <c r="F233" t="s">
        <v>16</v>
      </c>
      <c r="G233">
        <v>4</v>
      </c>
    </row>
    <row r="234" spans="1:7">
      <c r="A234" t="s">
        <v>264</v>
      </c>
      <c r="B234" s="2" t="s">
        <v>248</v>
      </c>
      <c r="C234">
        <v>16</v>
      </c>
      <c r="D234" s="3">
        <v>2.2000000000000002</v>
      </c>
      <c r="E234" t="s">
        <v>15</v>
      </c>
      <c r="F234" t="s">
        <v>16</v>
      </c>
      <c r="G234">
        <v>4</v>
      </c>
    </row>
    <row r="235" spans="1:7">
      <c r="A235" t="s">
        <v>265</v>
      </c>
      <c r="B235" s="2" t="s">
        <v>248</v>
      </c>
      <c r="C235">
        <v>17</v>
      </c>
      <c r="D235" s="3">
        <v>16.100000000000001</v>
      </c>
      <c r="E235" t="s">
        <v>36</v>
      </c>
      <c r="F235" t="s">
        <v>16</v>
      </c>
      <c r="G235">
        <v>4</v>
      </c>
    </row>
    <row r="236" spans="1:7">
      <c r="A236" t="s">
        <v>266</v>
      </c>
      <c r="B236" s="2" t="s">
        <v>248</v>
      </c>
      <c r="C236">
        <v>18</v>
      </c>
      <c r="D236" s="3">
        <v>125.82</v>
      </c>
      <c r="E236" t="s">
        <v>36</v>
      </c>
      <c r="F236" t="s">
        <v>267</v>
      </c>
      <c r="G236">
        <v>4</v>
      </c>
    </row>
    <row r="237" spans="1:7">
      <c r="A237" t="s">
        <v>268</v>
      </c>
      <c r="B237" s="2" t="s">
        <v>248</v>
      </c>
      <c r="C237">
        <v>19</v>
      </c>
      <c r="D237" s="3">
        <v>40.880000000000003</v>
      </c>
      <c r="E237" t="s">
        <v>39</v>
      </c>
      <c r="F237" t="s">
        <v>16</v>
      </c>
      <c r="G237">
        <v>4</v>
      </c>
    </row>
    <row r="238" spans="1:7">
      <c r="A238" t="s">
        <v>269</v>
      </c>
      <c r="B238" s="2" t="s">
        <v>248</v>
      </c>
      <c r="C238">
        <v>20</v>
      </c>
      <c r="D238" s="3">
        <v>59.37</v>
      </c>
      <c r="E238" t="s">
        <v>39</v>
      </c>
      <c r="F238" t="s">
        <v>16</v>
      </c>
      <c r="G238">
        <v>4</v>
      </c>
    </row>
    <row r="239" spans="1:7">
      <c r="A239" t="s">
        <v>270</v>
      </c>
      <c r="B239" s="2" t="s">
        <v>248</v>
      </c>
      <c r="C239">
        <v>21</v>
      </c>
      <c r="D239" s="3">
        <v>43.91</v>
      </c>
      <c r="E239" t="s">
        <v>39</v>
      </c>
      <c r="F239" t="s">
        <v>16</v>
      </c>
      <c r="G239">
        <v>4</v>
      </c>
    </row>
    <row r="240" spans="1:7">
      <c r="A240" t="s">
        <v>271</v>
      </c>
      <c r="B240" s="2" t="s">
        <v>248</v>
      </c>
      <c r="C240">
        <v>22</v>
      </c>
      <c r="D240" s="3">
        <v>2.2000000000000002</v>
      </c>
      <c r="E240" t="s">
        <v>15</v>
      </c>
      <c r="F240" t="s">
        <v>16</v>
      </c>
      <c r="G240">
        <v>4</v>
      </c>
    </row>
    <row r="241" spans="1:7">
      <c r="A241" t="s">
        <v>272</v>
      </c>
      <c r="B241" s="2" t="s">
        <v>248</v>
      </c>
      <c r="C241">
        <v>23</v>
      </c>
      <c r="D241" s="3">
        <v>2.2799999999999998</v>
      </c>
      <c r="E241" t="s">
        <v>15</v>
      </c>
      <c r="F241" t="s">
        <v>16</v>
      </c>
      <c r="G241">
        <v>4</v>
      </c>
    </row>
    <row r="242" spans="1:7">
      <c r="A242" t="s">
        <v>273</v>
      </c>
      <c r="B242" s="2" t="s">
        <v>274</v>
      </c>
      <c r="C242">
        <v>0</v>
      </c>
      <c r="D242" s="3">
        <v>1.64</v>
      </c>
      <c r="E242" t="s">
        <v>15</v>
      </c>
      <c r="F242" t="s">
        <v>16</v>
      </c>
      <c r="G242">
        <v>4</v>
      </c>
    </row>
    <row r="243" spans="1:7">
      <c r="A243" t="s">
        <v>275</v>
      </c>
      <c r="B243" s="2" t="s">
        <v>274</v>
      </c>
      <c r="C243">
        <v>1</v>
      </c>
      <c r="D243" s="3">
        <v>2.17</v>
      </c>
      <c r="E243" t="s">
        <v>15</v>
      </c>
      <c r="F243" t="s">
        <v>16</v>
      </c>
      <c r="G243">
        <v>4</v>
      </c>
    </row>
    <row r="244" spans="1:7">
      <c r="A244" t="s">
        <v>276</v>
      </c>
      <c r="B244" s="2" t="s">
        <v>274</v>
      </c>
      <c r="C244">
        <v>2</v>
      </c>
      <c r="D244" s="3">
        <v>1.97</v>
      </c>
      <c r="E244" t="s">
        <v>15</v>
      </c>
      <c r="F244" t="s">
        <v>16</v>
      </c>
      <c r="G244">
        <v>4</v>
      </c>
    </row>
    <row r="245" spans="1:7">
      <c r="A245" t="s">
        <v>277</v>
      </c>
      <c r="B245" s="2" t="s">
        <v>274</v>
      </c>
      <c r="C245">
        <v>3</v>
      </c>
      <c r="D245" s="3">
        <v>3.29</v>
      </c>
      <c r="E245" t="s">
        <v>15</v>
      </c>
      <c r="F245" t="s">
        <v>16</v>
      </c>
      <c r="G245">
        <v>4</v>
      </c>
    </row>
    <row r="246" spans="1:7">
      <c r="A246" t="s">
        <v>278</v>
      </c>
      <c r="B246" s="2" t="s">
        <v>274</v>
      </c>
      <c r="C246">
        <v>4</v>
      </c>
      <c r="D246" s="3">
        <v>0.95</v>
      </c>
      <c r="E246" t="s">
        <v>15</v>
      </c>
      <c r="F246" t="s">
        <v>16</v>
      </c>
      <c r="G246">
        <v>4</v>
      </c>
    </row>
    <row r="247" spans="1:7">
      <c r="A247" t="s">
        <v>279</v>
      </c>
      <c r="B247" s="2" t="s">
        <v>274</v>
      </c>
      <c r="C247">
        <v>5</v>
      </c>
      <c r="D247" s="3">
        <v>2.59</v>
      </c>
      <c r="E247" t="s">
        <v>15</v>
      </c>
      <c r="F247" t="s">
        <v>16</v>
      </c>
      <c r="G247">
        <v>4</v>
      </c>
    </row>
    <row r="248" spans="1:7">
      <c r="A248" t="s">
        <v>280</v>
      </c>
      <c r="B248" s="2" t="s">
        <v>274</v>
      </c>
      <c r="C248">
        <v>6</v>
      </c>
      <c r="D248" s="3">
        <v>48.21</v>
      </c>
      <c r="E248" t="s">
        <v>23</v>
      </c>
      <c r="F248" t="s">
        <v>16</v>
      </c>
      <c r="G248">
        <v>4</v>
      </c>
    </row>
    <row r="249" spans="1:7">
      <c r="A249" t="s">
        <v>281</v>
      </c>
      <c r="B249" s="2" t="s">
        <v>274</v>
      </c>
      <c r="C249">
        <v>7</v>
      </c>
      <c r="D249" s="3">
        <v>52.29</v>
      </c>
      <c r="E249" t="s">
        <v>23</v>
      </c>
      <c r="F249" t="s">
        <v>16</v>
      </c>
      <c r="G249">
        <v>4</v>
      </c>
    </row>
    <row r="250" spans="1:7">
      <c r="A250" t="s">
        <v>282</v>
      </c>
      <c r="B250" s="2" t="s">
        <v>274</v>
      </c>
      <c r="C250">
        <v>8</v>
      </c>
      <c r="D250" s="3">
        <v>59.46</v>
      </c>
      <c r="E250" t="s">
        <v>23</v>
      </c>
      <c r="F250" t="s">
        <v>16</v>
      </c>
      <c r="G250">
        <v>4</v>
      </c>
    </row>
    <row r="251" spans="1:7">
      <c r="A251" t="s">
        <v>283</v>
      </c>
      <c r="B251" s="2" t="s">
        <v>274</v>
      </c>
      <c r="C251">
        <v>9</v>
      </c>
      <c r="D251" s="3">
        <v>1.26</v>
      </c>
      <c r="E251" t="s">
        <v>15</v>
      </c>
      <c r="F251" t="s">
        <v>16</v>
      </c>
      <c r="G251">
        <v>4</v>
      </c>
    </row>
    <row r="252" spans="1:7">
      <c r="A252" t="s">
        <v>284</v>
      </c>
      <c r="B252" s="2" t="s">
        <v>274</v>
      </c>
      <c r="C252">
        <v>10</v>
      </c>
      <c r="D252" s="3">
        <v>37.9</v>
      </c>
      <c r="E252" t="s">
        <v>106</v>
      </c>
      <c r="F252" t="s">
        <v>16</v>
      </c>
      <c r="G252">
        <v>4</v>
      </c>
    </row>
    <row r="253" spans="1:7">
      <c r="A253" t="s">
        <v>285</v>
      </c>
      <c r="B253" s="2" t="s">
        <v>274</v>
      </c>
      <c r="C253">
        <v>11</v>
      </c>
      <c r="D253" s="3">
        <v>2.71</v>
      </c>
      <c r="E253" t="s">
        <v>15</v>
      </c>
      <c r="F253" t="s">
        <v>16</v>
      </c>
      <c r="G253">
        <v>4</v>
      </c>
    </row>
    <row r="254" spans="1:7">
      <c r="A254" t="s">
        <v>286</v>
      </c>
      <c r="B254" s="2" t="s">
        <v>274</v>
      </c>
      <c r="C254">
        <v>12</v>
      </c>
      <c r="D254" s="3">
        <v>0.53</v>
      </c>
      <c r="E254" t="s">
        <v>15</v>
      </c>
      <c r="F254" t="s">
        <v>16</v>
      </c>
      <c r="G254">
        <v>4</v>
      </c>
    </row>
    <row r="255" spans="1:7">
      <c r="A255" t="s">
        <v>287</v>
      </c>
      <c r="B255" s="2" t="s">
        <v>274</v>
      </c>
      <c r="C255">
        <v>13</v>
      </c>
      <c r="D255" s="3">
        <v>20.96</v>
      </c>
      <c r="E255" t="s">
        <v>31</v>
      </c>
      <c r="F255" t="s">
        <v>16</v>
      </c>
      <c r="G255">
        <v>4</v>
      </c>
    </row>
    <row r="256" spans="1:7">
      <c r="A256" t="s">
        <v>288</v>
      </c>
      <c r="B256" s="2" t="s">
        <v>274</v>
      </c>
      <c r="C256">
        <v>14</v>
      </c>
      <c r="D256" s="3">
        <v>3.5</v>
      </c>
      <c r="E256" t="s">
        <v>15</v>
      </c>
      <c r="F256" t="s">
        <v>16</v>
      </c>
      <c r="G256">
        <v>4</v>
      </c>
    </row>
    <row r="257" spans="1:7">
      <c r="A257" t="s">
        <v>289</v>
      </c>
      <c r="B257" s="2" t="s">
        <v>274</v>
      </c>
      <c r="C257">
        <v>15</v>
      </c>
      <c r="D257" s="3">
        <v>3.49</v>
      </c>
      <c r="E257" t="s">
        <v>15</v>
      </c>
      <c r="F257" t="s">
        <v>16</v>
      </c>
      <c r="G257">
        <v>4</v>
      </c>
    </row>
    <row r="258" spans="1:7">
      <c r="A258" t="s">
        <v>290</v>
      </c>
      <c r="B258" s="2" t="s">
        <v>274</v>
      </c>
      <c r="C258">
        <v>16</v>
      </c>
      <c r="D258" s="3">
        <v>0.53</v>
      </c>
      <c r="E258" t="s">
        <v>15</v>
      </c>
      <c r="F258" t="s">
        <v>16</v>
      </c>
      <c r="G258">
        <v>4</v>
      </c>
    </row>
    <row r="259" spans="1:7">
      <c r="A259" t="s">
        <v>291</v>
      </c>
      <c r="B259" s="2" t="s">
        <v>274</v>
      </c>
      <c r="C259">
        <v>17</v>
      </c>
      <c r="D259" s="3">
        <v>10.56</v>
      </c>
      <c r="E259" t="s">
        <v>36</v>
      </c>
      <c r="F259" t="s">
        <v>16</v>
      </c>
      <c r="G259">
        <v>4</v>
      </c>
    </row>
    <row r="260" spans="1:7">
      <c r="A260" t="s">
        <v>292</v>
      </c>
      <c r="B260" s="2" t="s">
        <v>274</v>
      </c>
      <c r="C260">
        <v>18</v>
      </c>
      <c r="D260" s="3">
        <v>11.18</v>
      </c>
      <c r="E260" t="s">
        <v>36</v>
      </c>
      <c r="F260" t="s">
        <v>16</v>
      </c>
      <c r="G260">
        <v>4</v>
      </c>
    </row>
    <row r="261" spans="1:7">
      <c r="A261" t="s">
        <v>293</v>
      </c>
      <c r="B261" s="2" t="s">
        <v>274</v>
      </c>
      <c r="C261">
        <v>19</v>
      </c>
      <c r="D261" s="3">
        <v>60.4</v>
      </c>
      <c r="E261" t="s">
        <v>39</v>
      </c>
      <c r="F261" t="s">
        <v>16</v>
      </c>
      <c r="G261">
        <v>4</v>
      </c>
    </row>
    <row r="262" spans="1:7">
      <c r="A262" t="s">
        <v>294</v>
      </c>
      <c r="B262" s="2" t="s">
        <v>274</v>
      </c>
      <c r="C262">
        <v>20</v>
      </c>
      <c r="D262" s="3">
        <v>59.14</v>
      </c>
      <c r="E262" t="s">
        <v>39</v>
      </c>
      <c r="F262" t="s">
        <v>16</v>
      </c>
      <c r="G262">
        <v>4</v>
      </c>
    </row>
    <row r="263" spans="1:7">
      <c r="A263" t="s">
        <v>295</v>
      </c>
      <c r="B263" s="2" t="s">
        <v>274</v>
      </c>
      <c r="C263">
        <v>21</v>
      </c>
      <c r="D263" s="3">
        <v>59.1</v>
      </c>
      <c r="E263" t="s">
        <v>39</v>
      </c>
      <c r="F263" t="s">
        <v>16</v>
      </c>
      <c r="G263">
        <v>4</v>
      </c>
    </row>
    <row r="264" spans="1:7">
      <c r="A264" t="s">
        <v>296</v>
      </c>
      <c r="B264" s="2" t="s">
        <v>274</v>
      </c>
      <c r="C264">
        <v>22</v>
      </c>
      <c r="D264" s="3">
        <v>1.48</v>
      </c>
      <c r="E264" t="s">
        <v>15</v>
      </c>
      <c r="F264" t="s">
        <v>16</v>
      </c>
      <c r="G264">
        <v>4</v>
      </c>
    </row>
    <row r="265" spans="1:7">
      <c r="A265" t="s">
        <v>297</v>
      </c>
      <c r="B265" s="2" t="s">
        <v>274</v>
      </c>
      <c r="C265">
        <v>23</v>
      </c>
      <c r="D265" s="3">
        <v>0.8</v>
      </c>
      <c r="E265" t="s">
        <v>15</v>
      </c>
      <c r="F265" t="s">
        <v>16</v>
      </c>
      <c r="G265">
        <v>4</v>
      </c>
    </row>
    <row r="266" spans="1:7">
      <c r="A266" t="s">
        <v>298</v>
      </c>
      <c r="B266" s="2" t="s">
        <v>299</v>
      </c>
      <c r="C266">
        <v>0</v>
      </c>
      <c r="D266" s="3">
        <v>2.97</v>
      </c>
      <c r="E266" t="s">
        <v>15</v>
      </c>
      <c r="F266" t="s">
        <v>16</v>
      </c>
      <c r="G266">
        <v>4</v>
      </c>
    </row>
    <row r="267" spans="1:7">
      <c r="A267" t="s">
        <v>300</v>
      </c>
      <c r="B267" s="2" t="s">
        <v>299</v>
      </c>
      <c r="C267">
        <v>1</v>
      </c>
      <c r="D267" s="3">
        <v>2.5499999999999998</v>
      </c>
      <c r="E267" t="s">
        <v>15</v>
      </c>
      <c r="F267" t="s">
        <v>16</v>
      </c>
      <c r="G267">
        <v>4</v>
      </c>
    </row>
    <row r="268" spans="1:7">
      <c r="A268" t="s">
        <v>301</v>
      </c>
      <c r="B268" s="2" t="s">
        <v>299</v>
      </c>
      <c r="C268">
        <v>2</v>
      </c>
      <c r="D268" s="3">
        <v>2.2599999999999998</v>
      </c>
      <c r="E268" t="s">
        <v>15</v>
      </c>
      <c r="F268" t="s">
        <v>16</v>
      </c>
      <c r="G268">
        <v>4</v>
      </c>
    </row>
    <row r="269" spans="1:7">
      <c r="A269" t="s">
        <v>302</v>
      </c>
      <c r="B269" s="2" t="s">
        <v>299</v>
      </c>
      <c r="C269">
        <v>3</v>
      </c>
      <c r="D269" s="3">
        <v>3.46</v>
      </c>
      <c r="E269" t="s">
        <v>15</v>
      </c>
      <c r="F269" t="s">
        <v>16</v>
      </c>
      <c r="G269">
        <v>4</v>
      </c>
    </row>
    <row r="270" spans="1:7">
      <c r="A270" t="s">
        <v>303</v>
      </c>
      <c r="B270" s="2" t="s">
        <v>299</v>
      </c>
      <c r="C270">
        <v>4</v>
      </c>
      <c r="D270" s="3">
        <v>2.39</v>
      </c>
      <c r="E270" t="s">
        <v>15</v>
      </c>
      <c r="F270" t="s">
        <v>16</v>
      </c>
      <c r="G270">
        <v>4</v>
      </c>
    </row>
    <row r="271" spans="1:7">
      <c r="A271" t="s">
        <v>304</v>
      </c>
      <c r="B271" s="2" t="s">
        <v>299</v>
      </c>
      <c r="C271">
        <v>5</v>
      </c>
      <c r="D271" s="3">
        <v>0.33</v>
      </c>
      <c r="E271" t="s">
        <v>15</v>
      </c>
      <c r="F271" t="s">
        <v>16</v>
      </c>
      <c r="G271">
        <v>4</v>
      </c>
    </row>
    <row r="272" spans="1:7">
      <c r="A272" t="s">
        <v>305</v>
      </c>
      <c r="B272" s="2" t="s">
        <v>299</v>
      </c>
      <c r="C272">
        <v>6</v>
      </c>
      <c r="D272" s="3">
        <v>63.24</v>
      </c>
      <c r="E272" t="s">
        <v>23</v>
      </c>
      <c r="F272" t="s">
        <v>16</v>
      </c>
      <c r="G272">
        <v>4</v>
      </c>
    </row>
    <row r="273" spans="1:7">
      <c r="A273" t="s">
        <v>306</v>
      </c>
      <c r="B273" s="2" t="s">
        <v>299</v>
      </c>
      <c r="C273">
        <v>7</v>
      </c>
      <c r="D273" s="3">
        <v>49.78</v>
      </c>
      <c r="E273" t="s">
        <v>23</v>
      </c>
      <c r="F273" t="s">
        <v>16</v>
      </c>
      <c r="G273">
        <v>4</v>
      </c>
    </row>
    <row r="274" spans="1:7">
      <c r="A274" t="s">
        <v>307</v>
      </c>
      <c r="B274" s="2" t="s">
        <v>299</v>
      </c>
      <c r="C274">
        <v>8</v>
      </c>
      <c r="D274" s="3">
        <v>59.25</v>
      </c>
      <c r="E274" t="s">
        <v>23</v>
      </c>
      <c r="F274" t="s">
        <v>16</v>
      </c>
      <c r="G274">
        <v>4</v>
      </c>
    </row>
    <row r="275" spans="1:7">
      <c r="A275" t="s">
        <v>308</v>
      </c>
      <c r="B275" s="2" t="s">
        <v>299</v>
      </c>
      <c r="C275">
        <v>9</v>
      </c>
      <c r="D275" s="3">
        <v>3.3</v>
      </c>
      <c r="E275" t="s">
        <v>15</v>
      </c>
      <c r="F275" t="s">
        <v>16</v>
      </c>
      <c r="G275">
        <v>4</v>
      </c>
    </row>
    <row r="276" spans="1:7">
      <c r="A276" t="s">
        <v>309</v>
      </c>
      <c r="B276" s="2" t="s">
        <v>299</v>
      </c>
      <c r="C276">
        <v>10</v>
      </c>
      <c r="D276" s="3">
        <v>33.36</v>
      </c>
      <c r="E276" t="s">
        <v>106</v>
      </c>
      <c r="F276" t="s">
        <v>16</v>
      </c>
      <c r="G276">
        <v>4</v>
      </c>
    </row>
    <row r="277" spans="1:7">
      <c r="A277" t="s">
        <v>310</v>
      </c>
      <c r="B277" s="2" t="s">
        <v>299</v>
      </c>
      <c r="C277">
        <v>11</v>
      </c>
      <c r="D277" s="3">
        <v>0.67</v>
      </c>
      <c r="E277" t="s">
        <v>15</v>
      </c>
      <c r="F277" t="s">
        <v>16</v>
      </c>
      <c r="G277">
        <v>4</v>
      </c>
    </row>
    <row r="278" spans="1:7">
      <c r="A278" t="s">
        <v>311</v>
      </c>
      <c r="B278" s="2" t="s">
        <v>299</v>
      </c>
      <c r="C278">
        <v>12</v>
      </c>
      <c r="D278" s="3">
        <v>0.64</v>
      </c>
      <c r="E278" t="s">
        <v>15</v>
      </c>
      <c r="F278" t="s">
        <v>16</v>
      </c>
      <c r="G278">
        <v>4</v>
      </c>
    </row>
    <row r="279" spans="1:7">
      <c r="A279" t="s">
        <v>312</v>
      </c>
      <c r="B279" s="2" t="s">
        <v>299</v>
      </c>
      <c r="C279">
        <v>13</v>
      </c>
      <c r="D279" s="3">
        <v>22.19</v>
      </c>
      <c r="E279" t="s">
        <v>31</v>
      </c>
      <c r="F279" t="s">
        <v>16</v>
      </c>
      <c r="G279">
        <v>4</v>
      </c>
    </row>
    <row r="280" spans="1:7">
      <c r="A280" t="s">
        <v>313</v>
      </c>
      <c r="B280" s="2" t="s">
        <v>299</v>
      </c>
      <c r="C280">
        <v>14</v>
      </c>
      <c r="D280" s="3">
        <v>1.17</v>
      </c>
      <c r="E280" t="s">
        <v>15</v>
      </c>
      <c r="F280" t="s">
        <v>16</v>
      </c>
      <c r="G280">
        <v>4</v>
      </c>
    </row>
    <row r="281" spans="1:7">
      <c r="A281" t="s">
        <v>314</v>
      </c>
      <c r="B281" s="2" t="s">
        <v>299</v>
      </c>
      <c r="C281">
        <v>15</v>
      </c>
      <c r="D281" s="3">
        <v>2.2400000000000002</v>
      </c>
      <c r="E281" t="s">
        <v>15</v>
      </c>
      <c r="F281" t="s">
        <v>16</v>
      </c>
      <c r="G281">
        <v>4</v>
      </c>
    </row>
    <row r="282" spans="1:7">
      <c r="A282" t="s">
        <v>315</v>
      </c>
      <c r="B282" s="2" t="s">
        <v>299</v>
      </c>
      <c r="C282">
        <v>16</v>
      </c>
      <c r="D282" s="3">
        <v>2.6</v>
      </c>
      <c r="E282" t="s">
        <v>15</v>
      </c>
      <c r="F282" t="s">
        <v>16</v>
      </c>
      <c r="G282">
        <v>4</v>
      </c>
    </row>
    <row r="283" spans="1:7">
      <c r="A283" t="s">
        <v>316</v>
      </c>
      <c r="B283" s="2" t="s">
        <v>299</v>
      </c>
      <c r="C283">
        <v>17</v>
      </c>
      <c r="D283" s="3">
        <v>10.44</v>
      </c>
      <c r="E283" t="s">
        <v>36</v>
      </c>
      <c r="F283" t="s">
        <v>16</v>
      </c>
      <c r="G283">
        <v>4</v>
      </c>
    </row>
    <row r="284" spans="1:7">
      <c r="A284" t="s">
        <v>317</v>
      </c>
      <c r="B284" s="2" t="s">
        <v>299</v>
      </c>
      <c r="C284">
        <v>18</v>
      </c>
      <c r="D284" s="3">
        <v>15.61</v>
      </c>
      <c r="E284" t="s">
        <v>36</v>
      </c>
      <c r="F284" t="s">
        <v>16</v>
      </c>
      <c r="G284">
        <v>4</v>
      </c>
    </row>
    <row r="285" spans="1:7">
      <c r="A285" t="s">
        <v>318</v>
      </c>
      <c r="B285" s="2" t="s">
        <v>299</v>
      </c>
      <c r="C285">
        <v>19</v>
      </c>
      <c r="D285" s="3">
        <v>44.34</v>
      </c>
      <c r="E285" t="s">
        <v>39</v>
      </c>
      <c r="F285" t="s">
        <v>16</v>
      </c>
      <c r="G285">
        <v>4</v>
      </c>
    </row>
    <row r="286" spans="1:7">
      <c r="A286" t="s">
        <v>319</v>
      </c>
      <c r="B286" s="2" t="s">
        <v>299</v>
      </c>
      <c r="C286">
        <v>20</v>
      </c>
      <c r="D286" s="3">
        <v>49.72</v>
      </c>
      <c r="E286" t="s">
        <v>39</v>
      </c>
      <c r="F286" t="s">
        <v>16</v>
      </c>
      <c r="G286">
        <v>4</v>
      </c>
    </row>
    <row r="287" spans="1:7">
      <c r="A287" t="s">
        <v>320</v>
      </c>
      <c r="B287" s="2" t="s">
        <v>299</v>
      </c>
      <c r="C287">
        <v>21</v>
      </c>
      <c r="D287" s="3">
        <v>59.73</v>
      </c>
      <c r="E287" t="s">
        <v>39</v>
      </c>
      <c r="F287" t="s">
        <v>16</v>
      </c>
      <c r="G287">
        <v>4</v>
      </c>
    </row>
    <row r="288" spans="1:7">
      <c r="A288" t="s">
        <v>321</v>
      </c>
      <c r="B288" s="2" t="s">
        <v>299</v>
      </c>
      <c r="C288">
        <v>22</v>
      </c>
      <c r="D288" s="3">
        <v>3.01</v>
      </c>
      <c r="E288" t="s">
        <v>15</v>
      </c>
      <c r="F288" t="s">
        <v>16</v>
      </c>
      <c r="G288">
        <v>4</v>
      </c>
    </row>
    <row r="289" spans="1:7">
      <c r="A289" t="s">
        <v>322</v>
      </c>
      <c r="B289" s="2" t="s">
        <v>299</v>
      </c>
      <c r="C289">
        <v>23</v>
      </c>
      <c r="D289" s="3">
        <v>0.6</v>
      </c>
      <c r="E289" t="s">
        <v>15</v>
      </c>
      <c r="F289" t="s">
        <v>16</v>
      </c>
      <c r="G289">
        <v>4</v>
      </c>
    </row>
    <row r="290" spans="1:7">
      <c r="A290" t="s">
        <v>323</v>
      </c>
      <c r="B290" s="2" t="s">
        <v>324</v>
      </c>
      <c r="C290">
        <v>0</v>
      </c>
      <c r="D290" s="3">
        <v>1.66</v>
      </c>
      <c r="E290" t="s">
        <v>15</v>
      </c>
      <c r="F290" t="s">
        <v>16</v>
      </c>
      <c r="G290">
        <v>4</v>
      </c>
    </row>
    <row r="291" spans="1:7">
      <c r="A291" t="s">
        <v>325</v>
      </c>
      <c r="B291" s="2" t="s">
        <v>324</v>
      </c>
      <c r="C291">
        <v>1</v>
      </c>
      <c r="D291" s="3">
        <v>1.19</v>
      </c>
      <c r="E291" t="s">
        <v>15</v>
      </c>
      <c r="F291" t="s">
        <v>16</v>
      </c>
      <c r="G291">
        <v>4</v>
      </c>
    </row>
    <row r="292" spans="1:7">
      <c r="A292" t="s">
        <v>326</v>
      </c>
      <c r="B292" s="2" t="s">
        <v>324</v>
      </c>
      <c r="C292">
        <v>2</v>
      </c>
      <c r="D292" s="3">
        <v>0.31</v>
      </c>
      <c r="E292" t="s">
        <v>15</v>
      </c>
      <c r="F292" t="s">
        <v>16</v>
      </c>
      <c r="G292">
        <v>4</v>
      </c>
    </row>
    <row r="293" spans="1:7">
      <c r="A293" t="s">
        <v>327</v>
      </c>
      <c r="B293" s="2" t="s">
        <v>324</v>
      </c>
      <c r="C293">
        <v>3</v>
      </c>
      <c r="D293" s="3">
        <v>2.77</v>
      </c>
      <c r="E293" t="s">
        <v>15</v>
      </c>
      <c r="F293" t="s">
        <v>16</v>
      </c>
      <c r="G293">
        <v>4</v>
      </c>
    </row>
    <row r="294" spans="1:7">
      <c r="A294" t="s">
        <v>328</v>
      </c>
      <c r="B294" s="2" t="s">
        <v>324</v>
      </c>
      <c r="C294">
        <v>4</v>
      </c>
      <c r="D294" s="3">
        <v>2.34</v>
      </c>
      <c r="E294" t="s">
        <v>15</v>
      </c>
      <c r="F294" t="s">
        <v>16</v>
      </c>
      <c r="G294">
        <v>4</v>
      </c>
    </row>
    <row r="295" spans="1:7">
      <c r="A295" t="s">
        <v>329</v>
      </c>
      <c r="B295" s="2" t="s">
        <v>324</v>
      </c>
      <c r="C295">
        <v>5</v>
      </c>
      <c r="D295" s="3">
        <v>1.1399999999999999</v>
      </c>
      <c r="E295" t="s">
        <v>15</v>
      </c>
      <c r="F295" t="s">
        <v>16</v>
      </c>
      <c r="G295">
        <v>4</v>
      </c>
    </row>
    <row r="296" spans="1:7">
      <c r="A296" t="s">
        <v>330</v>
      </c>
      <c r="B296" s="2" t="s">
        <v>324</v>
      </c>
      <c r="C296">
        <v>6</v>
      </c>
      <c r="D296" s="3">
        <v>61.27</v>
      </c>
      <c r="E296" t="s">
        <v>23</v>
      </c>
      <c r="F296" t="s">
        <v>16</v>
      </c>
      <c r="G296">
        <v>4</v>
      </c>
    </row>
    <row r="297" spans="1:7">
      <c r="A297" t="s">
        <v>331</v>
      </c>
      <c r="B297" s="2" t="s">
        <v>324</v>
      </c>
      <c r="C297">
        <v>7</v>
      </c>
      <c r="D297" s="3">
        <v>56.34</v>
      </c>
      <c r="E297" t="s">
        <v>23</v>
      </c>
      <c r="F297" t="s">
        <v>16</v>
      </c>
      <c r="G297">
        <v>4</v>
      </c>
    </row>
    <row r="298" spans="1:7">
      <c r="A298" t="s">
        <v>332</v>
      </c>
      <c r="B298" s="2" t="s">
        <v>324</v>
      </c>
      <c r="C298">
        <v>8</v>
      </c>
      <c r="D298" s="3">
        <v>53.12</v>
      </c>
      <c r="E298" t="s">
        <v>23</v>
      </c>
      <c r="F298" t="s">
        <v>16</v>
      </c>
      <c r="G298">
        <v>4</v>
      </c>
    </row>
    <row r="299" spans="1:7">
      <c r="A299" t="s">
        <v>333</v>
      </c>
      <c r="B299" s="2" t="s">
        <v>324</v>
      </c>
      <c r="C299">
        <v>9</v>
      </c>
      <c r="D299" s="3">
        <v>0.33</v>
      </c>
      <c r="E299" t="s">
        <v>15</v>
      </c>
      <c r="F299" t="s">
        <v>16</v>
      </c>
      <c r="G299">
        <v>4</v>
      </c>
    </row>
    <row r="300" spans="1:7">
      <c r="A300" t="s">
        <v>334</v>
      </c>
      <c r="B300" s="2" t="s">
        <v>324</v>
      </c>
      <c r="C300">
        <v>10</v>
      </c>
      <c r="D300" s="3">
        <v>0.54</v>
      </c>
      <c r="E300" t="s">
        <v>15</v>
      </c>
      <c r="F300" t="s">
        <v>16</v>
      </c>
      <c r="G300">
        <v>4</v>
      </c>
    </row>
    <row r="301" spans="1:7">
      <c r="A301" t="s">
        <v>335</v>
      </c>
      <c r="B301" s="2" t="s">
        <v>324</v>
      </c>
      <c r="C301">
        <v>11</v>
      </c>
      <c r="D301" s="3">
        <v>3.13</v>
      </c>
      <c r="E301" t="s">
        <v>15</v>
      </c>
      <c r="F301" t="s">
        <v>16</v>
      </c>
      <c r="G301">
        <v>4</v>
      </c>
    </row>
    <row r="302" spans="1:7">
      <c r="A302" t="s">
        <v>336</v>
      </c>
      <c r="B302" s="2" t="s">
        <v>324</v>
      </c>
      <c r="C302">
        <v>12</v>
      </c>
      <c r="D302" s="3">
        <v>3.19</v>
      </c>
      <c r="E302" t="s">
        <v>15</v>
      </c>
      <c r="F302" t="s">
        <v>16</v>
      </c>
      <c r="G302">
        <v>4</v>
      </c>
    </row>
    <row r="303" spans="1:7">
      <c r="A303" t="s">
        <v>337</v>
      </c>
      <c r="B303" s="2" t="s">
        <v>324</v>
      </c>
      <c r="C303">
        <v>13</v>
      </c>
      <c r="D303" s="3">
        <v>22.09</v>
      </c>
      <c r="E303" t="s">
        <v>31</v>
      </c>
      <c r="F303" t="s">
        <v>16</v>
      </c>
      <c r="G303">
        <v>4</v>
      </c>
    </row>
    <row r="304" spans="1:7">
      <c r="A304" t="s">
        <v>338</v>
      </c>
      <c r="B304" s="2" t="s">
        <v>324</v>
      </c>
      <c r="C304">
        <v>14</v>
      </c>
      <c r="D304" s="3">
        <v>2.97</v>
      </c>
      <c r="E304" t="s">
        <v>15</v>
      </c>
      <c r="F304" t="s">
        <v>16</v>
      </c>
      <c r="G304">
        <v>4</v>
      </c>
    </row>
    <row r="305" spans="1:7">
      <c r="A305" t="s">
        <v>339</v>
      </c>
      <c r="B305" s="2" t="s">
        <v>324</v>
      </c>
      <c r="C305">
        <v>15</v>
      </c>
      <c r="D305" s="3">
        <v>2.16</v>
      </c>
      <c r="E305" t="s">
        <v>15</v>
      </c>
      <c r="F305" t="s">
        <v>16</v>
      </c>
      <c r="G305">
        <v>4</v>
      </c>
    </row>
    <row r="306" spans="1:7">
      <c r="A306" t="s">
        <v>340</v>
      </c>
      <c r="B306" s="2" t="s">
        <v>324</v>
      </c>
      <c r="C306">
        <v>16</v>
      </c>
      <c r="D306" s="3">
        <v>0.77</v>
      </c>
      <c r="E306" t="s">
        <v>15</v>
      </c>
      <c r="F306" t="s">
        <v>16</v>
      </c>
      <c r="G306">
        <v>4</v>
      </c>
    </row>
    <row r="307" spans="1:7">
      <c r="A307" t="s">
        <v>341</v>
      </c>
      <c r="B307" s="2" t="s">
        <v>324</v>
      </c>
      <c r="C307">
        <v>17</v>
      </c>
      <c r="D307" s="3">
        <v>9.5299999999999994</v>
      </c>
      <c r="E307" t="s">
        <v>36</v>
      </c>
      <c r="F307" t="s">
        <v>16</v>
      </c>
      <c r="G307">
        <v>4</v>
      </c>
    </row>
    <row r="308" spans="1:7">
      <c r="A308" t="s">
        <v>342</v>
      </c>
      <c r="B308" s="2" t="s">
        <v>324</v>
      </c>
      <c r="C308">
        <v>18</v>
      </c>
      <c r="D308" s="3">
        <v>11.7</v>
      </c>
      <c r="E308" t="s">
        <v>36</v>
      </c>
      <c r="F308" t="s">
        <v>16</v>
      </c>
      <c r="G308">
        <v>4</v>
      </c>
    </row>
    <row r="309" spans="1:7">
      <c r="A309" t="s">
        <v>343</v>
      </c>
      <c r="B309" s="2" t="s">
        <v>324</v>
      </c>
      <c r="C309">
        <v>19</v>
      </c>
      <c r="D309" s="3">
        <v>59.58</v>
      </c>
      <c r="E309" t="s">
        <v>39</v>
      </c>
      <c r="F309" t="s">
        <v>16</v>
      </c>
      <c r="G309">
        <v>4</v>
      </c>
    </row>
    <row r="310" spans="1:7">
      <c r="A310" t="s">
        <v>344</v>
      </c>
      <c r="B310" s="2" t="s">
        <v>324</v>
      </c>
      <c r="C310">
        <v>20</v>
      </c>
      <c r="D310" s="3">
        <v>57.11</v>
      </c>
      <c r="E310" t="s">
        <v>39</v>
      </c>
      <c r="F310" t="s">
        <v>16</v>
      </c>
      <c r="G310">
        <v>4</v>
      </c>
    </row>
    <row r="311" spans="1:7">
      <c r="A311" t="s">
        <v>345</v>
      </c>
      <c r="B311" s="2" t="s">
        <v>324</v>
      </c>
      <c r="C311">
        <v>21</v>
      </c>
      <c r="D311" s="3">
        <v>58.66</v>
      </c>
      <c r="E311" t="s">
        <v>39</v>
      </c>
      <c r="F311" t="s">
        <v>16</v>
      </c>
      <c r="G311">
        <v>4</v>
      </c>
    </row>
    <row r="312" spans="1:7">
      <c r="A312" t="s">
        <v>346</v>
      </c>
      <c r="B312" s="2" t="s">
        <v>324</v>
      </c>
      <c r="C312">
        <v>22</v>
      </c>
      <c r="D312" s="3">
        <v>3.18</v>
      </c>
      <c r="E312" t="s">
        <v>15</v>
      </c>
      <c r="F312" t="s">
        <v>16</v>
      </c>
      <c r="G312">
        <v>4</v>
      </c>
    </row>
    <row r="313" spans="1:7">
      <c r="A313" t="s">
        <v>347</v>
      </c>
      <c r="B313" s="2" t="s">
        <v>324</v>
      </c>
      <c r="C313">
        <v>23</v>
      </c>
      <c r="D313" s="3">
        <v>0.97</v>
      </c>
      <c r="E313" t="s">
        <v>15</v>
      </c>
      <c r="F313" t="s">
        <v>16</v>
      </c>
      <c r="G313">
        <v>4</v>
      </c>
    </row>
    <row r="314" spans="1:7">
      <c r="A314" t="s">
        <v>348</v>
      </c>
      <c r="B314" s="2" t="s">
        <v>349</v>
      </c>
      <c r="C314">
        <v>0</v>
      </c>
      <c r="D314" s="3">
        <v>1.1000000000000001</v>
      </c>
      <c r="E314" t="s">
        <v>15</v>
      </c>
      <c r="F314" t="s">
        <v>16</v>
      </c>
      <c r="G314">
        <v>4</v>
      </c>
    </row>
    <row r="315" spans="1:7">
      <c r="A315" t="s">
        <v>350</v>
      </c>
      <c r="B315" s="2" t="s">
        <v>349</v>
      </c>
      <c r="C315">
        <v>1</v>
      </c>
      <c r="D315" s="3">
        <v>0.63</v>
      </c>
      <c r="E315" t="s">
        <v>15</v>
      </c>
      <c r="F315" t="s">
        <v>16</v>
      </c>
      <c r="G315">
        <v>4</v>
      </c>
    </row>
    <row r="316" spans="1:7">
      <c r="A316" t="s">
        <v>351</v>
      </c>
      <c r="B316" s="2" t="s">
        <v>349</v>
      </c>
      <c r="C316">
        <v>2</v>
      </c>
      <c r="D316" s="3">
        <v>2.8</v>
      </c>
      <c r="E316" t="s">
        <v>15</v>
      </c>
      <c r="F316" t="s">
        <v>16</v>
      </c>
      <c r="G316">
        <v>4</v>
      </c>
    </row>
    <row r="317" spans="1:7">
      <c r="A317" t="s">
        <v>352</v>
      </c>
      <c r="B317" s="2" t="s">
        <v>349</v>
      </c>
      <c r="C317">
        <v>3</v>
      </c>
      <c r="D317" s="3">
        <v>3.13</v>
      </c>
      <c r="E317" t="s">
        <v>15</v>
      </c>
      <c r="F317" t="s">
        <v>16</v>
      </c>
      <c r="G317">
        <v>4</v>
      </c>
    </row>
    <row r="318" spans="1:7">
      <c r="A318" t="s">
        <v>353</v>
      </c>
      <c r="B318" s="2" t="s">
        <v>349</v>
      </c>
      <c r="C318">
        <v>4</v>
      </c>
      <c r="D318" s="3">
        <v>1.6</v>
      </c>
      <c r="E318" t="s">
        <v>15</v>
      </c>
      <c r="F318" t="s">
        <v>16</v>
      </c>
      <c r="G318">
        <v>4</v>
      </c>
    </row>
    <row r="319" spans="1:7">
      <c r="A319" t="s">
        <v>354</v>
      </c>
      <c r="B319" s="2" t="s">
        <v>349</v>
      </c>
      <c r="C319">
        <v>5</v>
      </c>
      <c r="D319" s="3">
        <v>2.29</v>
      </c>
      <c r="E319" t="s">
        <v>15</v>
      </c>
      <c r="F319" t="s">
        <v>16</v>
      </c>
      <c r="G319">
        <v>4</v>
      </c>
    </row>
    <row r="320" spans="1:7">
      <c r="A320" t="s">
        <v>355</v>
      </c>
      <c r="B320" s="2" t="s">
        <v>349</v>
      </c>
      <c r="C320">
        <v>6</v>
      </c>
      <c r="D320" s="3">
        <v>46.02</v>
      </c>
      <c r="E320" t="s">
        <v>23</v>
      </c>
      <c r="F320" t="s">
        <v>16</v>
      </c>
      <c r="G320">
        <v>4</v>
      </c>
    </row>
    <row r="321" spans="1:7">
      <c r="A321" t="s">
        <v>356</v>
      </c>
      <c r="B321" s="2" t="s">
        <v>349</v>
      </c>
      <c r="C321">
        <v>7</v>
      </c>
      <c r="D321" s="3">
        <v>66.180000000000007</v>
      </c>
      <c r="E321" t="s">
        <v>23</v>
      </c>
      <c r="F321" t="s">
        <v>16</v>
      </c>
      <c r="G321">
        <v>4</v>
      </c>
    </row>
    <row r="322" spans="1:7">
      <c r="A322" t="s">
        <v>357</v>
      </c>
      <c r="B322" s="2" t="s">
        <v>349</v>
      </c>
      <c r="C322">
        <v>8</v>
      </c>
      <c r="D322" s="3">
        <v>64.48</v>
      </c>
      <c r="E322" t="s">
        <v>23</v>
      </c>
      <c r="F322" t="s">
        <v>16</v>
      </c>
      <c r="G322">
        <v>4</v>
      </c>
    </row>
    <row r="323" spans="1:7">
      <c r="A323" t="s">
        <v>358</v>
      </c>
      <c r="B323" s="2" t="s">
        <v>349</v>
      </c>
      <c r="C323">
        <v>9</v>
      </c>
      <c r="D323" s="3">
        <v>3.42</v>
      </c>
      <c r="E323" t="s">
        <v>15</v>
      </c>
      <c r="F323" t="s">
        <v>16</v>
      </c>
      <c r="G323">
        <v>4</v>
      </c>
    </row>
    <row r="324" spans="1:7">
      <c r="A324" t="s">
        <v>359</v>
      </c>
      <c r="B324" s="2" t="s">
        <v>349</v>
      </c>
      <c r="C324">
        <v>10</v>
      </c>
      <c r="D324" s="3">
        <v>2.89</v>
      </c>
      <c r="E324" t="s">
        <v>15</v>
      </c>
      <c r="F324" t="s">
        <v>16</v>
      </c>
      <c r="G324">
        <v>4</v>
      </c>
    </row>
    <row r="325" spans="1:7">
      <c r="A325" t="s">
        <v>360</v>
      </c>
      <c r="B325" s="2" t="s">
        <v>349</v>
      </c>
      <c r="C325">
        <v>11</v>
      </c>
      <c r="D325" s="3">
        <v>3.12</v>
      </c>
      <c r="E325" t="s">
        <v>15</v>
      </c>
      <c r="F325" t="s">
        <v>16</v>
      </c>
      <c r="G325">
        <v>4</v>
      </c>
    </row>
    <row r="326" spans="1:7">
      <c r="A326" t="s">
        <v>361</v>
      </c>
      <c r="B326" s="2" t="s">
        <v>349</v>
      </c>
      <c r="C326">
        <v>12</v>
      </c>
      <c r="D326" s="3">
        <v>0.38</v>
      </c>
      <c r="E326" t="s">
        <v>15</v>
      </c>
      <c r="F326" t="s">
        <v>16</v>
      </c>
      <c r="G326">
        <v>4</v>
      </c>
    </row>
    <row r="327" spans="1:7">
      <c r="A327" t="s">
        <v>362</v>
      </c>
      <c r="B327" s="2" t="s">
        <v>349</v>
      </c>
      <c r="C327">
        <v>13</v>
      </c>
      <c r="D327" s="3">
        <v>24.58</v>
      </c>
      <c r="E327" t="s">
        <v>31</v>
      </c>
      <c r="F327" t="s">
        <v>16</v>
      </c>
      <c r="G327">
        <v>4</v>
      </c>
    </row>
    <row r="328" spans="1:7">
      <c r="A328" t="s">
        <v>363</v>
      </c>
      <c r="B328" s="2" t="s">
        <v>349</v>
      </c>
      <c r="C328">
        <v>14</v>
      </c>
      <c r="D328" s="3">
        <v>1.36</v>
      </c>
      <c r="E328" t="s">
        <v>15</v>
      </c>
      <c r="F328" t="s">
        <v>16</v>
      </c>
      <c r="G328">
        <v>4</v>
      </c>
    </row>
    <row r="329" spans="1:7">
      <c r="A329" t="s">
        <v>364</v>
      </c>
      <c r="B329" s="2" t="s">
        <v>349</v>
      </c>
      <c r="C329">
        <v>15</v>
      </c>
      <c r="D329" s="3">
        <v>3.28</v>
      </c>
      <c r="E329" t="s">
        <v>15</v>
      </c>
      <c r="F329" t="s">
        <v>16</v>
      </c>
      <c r="G329">
        <v>4</v>
      </c>
    </row>
    <row r="330" spans="1:7">
      <c r="A330" t="s">
        <v>365</v>
      </c>
      <c r="B330" s="2" t="s">
        <v>349</v>
      </c>
      <c r="C330">
        <v>16</v>
      </c>
      <c r="D330" s="3">
        <v>2.87</v>
      </c>
      <c r="E330" t="s">
        <v>15</v>
      </c>
      <c r="F330" t="s">
        <v>16</v>
      </c>
      <c r="G330">
        <v>4</v>
      </c>
    </row>
    <row r="331" spans="1:7">
      <c r="A331" t="s">
        <v>366</v>
      </c>
      <c r="B331" s="2" t="s">
        <v>349</v>
      </c>
      <c r="C331">
        <v>17</v>
      </c>
      <c r="D331" s="3">
        <v>18.37</v>
      </c>
      <c r="E331" t="s">
        <v>36</v>
      </c>
      <c r="F331" t="s">
        <v>16</v>
      </c>
      <c r="G331">
        <v>4</v>
      </c>
    </row>
    <row r="332" spans="1:7">
      <c r="A332" t="s">
        <v>367</v>
      </c>
      <c r="B332" s="2" t="s">
        <v>349</v>
      </c>
      <c r="C332">
        <v>18</v>
      </c>
      <c r="D332" s="3">
        <v>17.73</v>
      </c>
      <c r="E332" t="s">
        <v>36</v>
      </c>
      <c r="F332" t="s">
        <v>16</v>
      </c>
      <c r="G332">
        <v>4</v>
      </c>
    </row>
    <row r="333" spans="1:7">
      <c r="A333" t="s">
        <v>368</v>
      </c>
      <c r="B333" s="2" t="s">
        <v>349</v>
      </c>
      <c r="C333">
        <v>19</v>
      </c>
      <c r="D333" s="3">
        <v>44.4</v>
      </c>
      <c r="E333" t="s">
        <v>39</v>
      </c>
      <c r="F333" t="s">
        <v>16</v>
      </c>
      <c r="G333">
        <v>4</v>
      </c>
    </row>
    <row r="334" spans="1:7">
      <c r="A334" t="s">
        <v>369</v>
      </c>
      <c r="B334" s="2" t="s">
        <v>349</v>
      </c>
      <c r="C334">
        <v>20</v>
      </c>
      <c r="D334" s="3">
        <v>56.9</v>
      </c>
      <c r="E334" t="s">
        <v>39</v>
      </c>
      <c r="F334" t="s">
        <v>16</v>
      </c>
      <c r="G334">
        <v>4</v>
      </c>
    </row>
    <row r="335" spans="1:7">
      <c r="A335" t="s">
        <v>370</v>
      </c>
      <c r="B335" s="2" t="s">
        <v>349</v>
      </c>
      <c r="C335">
        <v>21</v>
      </c>
      <c r="D335" s="3">
        <v>40.590000000000003</v>
      </c>
      <c r="E335" t="s">
        <v>39</v>
      </c>
      <c r="F335" t="s">
        <v>16</v>
      </c>
      <c r="G335">
        <v>4</v>
      </c>
    </row>
    <row r="336" spans="1:7">
      <c r="A336" t="s">
        <v>371</v>
      </c>
      <c r="B336" s="2" t="s">
        <v>349</v>
      </c>
      <c r="C336">
        <v>22</v>
      </c>
      <c r="D336" s="3">
        <v>3.09</v>
      </c>
      <c r="E336" t="s">
        <v>15</v>
      </c>
      <c r="F336" t="s">
        <v>16</v>
      </c>
      <c r="G336">
        <v>4</v>
      </c>
    </row>
    <row r="337" spans="1:7">
      <c r="A337" t="s">
        <v>372</v>
      </c>
      <c r="B337" s="2" t="s">
        <v>349</v>
      </c>
      <c r="C337">
        <v>23</v>
      </c>
      <c r="D337" s="3">
        <v>3.05</v>
      </c>
      <c r="E337" t="s">
        <v>15</v>
      </c>
      <c r="F337" t="s">
        <v>16</v>
      </c>
      <c r="G33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showGridLines="0" workbookViewId="0"/>
  </sheetViews>
  <sheetFormatPr defaultRowHeight="13.8"/>
  <cols>
    <col min="1" max="1" width="9.09765625" customWidth="1"/>
    <col min="2" max="2" width="8.8984375" customWidth="1"/>
  </cols>
  <sheetData>
    <row r="1" spans="1:2">
      <c r="A1" s="1" t="s">
        <v>7</v>
      </c>
      <c r="B1" s="1" t="s">
        <v>373</v>
      </c>
    </row>
    <row r="2" spans="1:2">
      <c r="A2" s="2" t="s">
        <v>14</v>
      </c>
      <c r="B2" s="3">
        <v>384.42</v>
      </c>
    </row>
    <row r="3" spans="1:2">
      <c r="A3" s="2" t="s">
        <v>45</v>
      </c>
      <c r="B3" s="3">
        <v>381.38</v>
      </c>
    </row>
    <row r="4" spans="1:2">
      <c r="A4" s="2" t="s">
        <v>70</v>
      </c>
      <c r="B4" s="3">
        <v>374.29</v>
      </c>
    </row>
    <row r="5" spans="1:2">
      <c r="A5" s="2" t="s">
        <v>95</v>
      </c>
      <c r="B5" s="3">
        <v>419.75</v>
      </c>
    </row>
    <row r="6" spans="1:2">
      <c r="A6" s="2" t="s">
        <v>121</v>
      </c>
      <c r="B6" s="3">
        <v>441.14</v>
      </c>
    </row>
    <row r="7" spans="1:2">
      <c r="A7" s="2" t="s">
        <v>146</v>
      </c>
      <c r="B7" s="3">
        <v>475.07</v>
      </c>
    </row>
    <row r="8" spans="1:2">
      <c r="A8" s="2" t="s">
        <v>173</v>
      </c>
      <c r="B8" s="3">
        <v>407.85</v>
      </c>
    </row>
    <row r="9" spans="1:2">
      <c r="A9" s="2" t="s">
        <v>198</v>
      </c>
      <c r="B9" s="3">
        <v>371.93</v>
      </c>
    </row>
    <row r="10" spans="1:2">
      <c r="A10" s="2" t="s">
        <v>223</v>
      </c>
      <c r="B10" s="3">
        <v>432.62</v>
      </c>
    </row>
    <row r="11" spans="1:2">
      <c r="A11" s="2" t="s">
        <v>248</v>
      </c>
      <c r="B11" s="3">
        <v>502.93</v>
      </c>
    </row>
    <row r="12" spans="1:2">
      <c r="A12" s="2" t="s">
        <v>274</v>
      </c>
      <c r="B12" s="3">
        <v>446.11</v>
      </c>
    </row>
    <row r="13" spans="1:2">
      <c r="A13" s="2" t="s">
        <v>299</v>
      </c>
      <c r="B13" s="3">
        <v>435.85</v>
      </c>
    </row>
    <row r="14" spans="1:2">
      <c r="A14" s="2" t="s">
        <v>324</v>
      </c>
      <c r="B14" s="3">
        <v>416.05</v>
      </c>
    </row>
    <row r="15" spans="1:2">
      <c r="A15" s="2" t="s">
        <v>349</v>
      </c>
      <c r="B15" s="3">
        <v>414.26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showGridLines="0" workbookViewId="0"/>
  </sheetViews>
  <sheetFormatPr defaultRowHeight="13.8"/>
  <cols>
    <col min="1" max="1" width="17.5" customWidth="1"/>
    <col min="2" max="2" width="8.8984375" customWidth="1"/>
  </cols>
  <sheetData>
    <row r="1" spans="1:2">
      <c r="A1" s="1" t="s">
        <v>10</v>
      </c>
      <c r="B1" s="1" t="s">
        <v>373</v>
      </c>
    </row>
    <row r="2" spans="1:2">
      <c r="A2" t="s">
        <v>15</v>
      </c>
      <c r="B2" s="3">
        <v>380.04</v>
      </c>
    </row>
    <row r="3" spans="1:2">
      <c r="A3" t="s">
        <v>23</v>
      </c>
      <c r="B3" s="3">
        <v>2371.7199999999998</v>
      </c>
    </row>
    <row r="4" spans="1:2">
      <c r="A4" t="s">
        <v>31</v>
      </c>
      <c r="B4" s="3">
        <v>317.99</v>
      </c>
    </row>
    <row r="5" spans="1:2">
      <c r="A5" t="s">
        <v>36</v>
      </c>
      <c r="B5" s="3">
        <v>496.19</v>
      </c>
    </row>
    <row r="6" spans="1:2">
      <c r="A6" t="s">
        <v>39</v>
      </c>
      <c r="B6" s="3">
        <v>2105.85</v>
      </c>
    </row>
    <row r="7" spans="1:2">
      <c r="A7" t="s">
        <v>106</v>
      </c>
      <c r="B7" s="3">
        <v>148.66</v>
      </c>
    </row>
    <row r="8" spans="1:2">
      <c r="A8" t="s">
        <v>147</v>
      </c>
      <c r="B8" s="3">
        <v>83.2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showGridLines="0" workbookViewId="0"/>
  </sheetViews>
  <sheetFormatPr defaultRowHeight="13.8"/>
  <cols>
    <col min="1" max="1" width="21.8984375" customWidth="1"/>
    <col min="2" max="2" width="6.8984375" customWidth="1"/>
    <col min="3" max="3" width="29.3984375" customWidth="1"/>
    <col min="4" max="4" width="14.8984375" customWidth="1"/>
    <col min="5" max="6" width="36" customWidth="1"/>
  </cols>
  <sheetData>
    <row r="1" spans="1:6">
      <c r="A1" s="1" t="s">
        <v>374</v>
      </c>
      <c r="B1" s="1" t="s">
        <v>375</v>
      </c>
      <c r="C1" s="1" t="s">
        <v>376</v>
      </c>
      <c r="D1" s="1" t="s">
        <v>377</v>
      </c>
      <c r="E1" s="1" t="s">
        <v>378</v>
      </c>
      <c r="F1" s="1" t="s">
        <v>379</v>
      </c>
    </row>
    <row r="2" spans="1:6" ht="27.6">
      <c r="A2" s="4" t="s">
        <v>380</v>
      </c>
      <c r="B2" s="4" t="s">
        <v>381</v>
      </c>
      <c r="C2" s="4" t="s">
        <v>382</v>
      </c>
      <c r="D2" s="5">
        <v>62.2</v>
      </c>
      <c r="E2" s="4" t="s">
        <v>383</v>
      </c>
      <c r="F2" s="4" t="s">
        <v>384</v>
      </c>
    </row>
    <row r="3" spans="1:6" ht="27.6">
      <c r="A3" s="4" t="s">
        <v>385</v>
      </c>
      <c r="B3" s="4" t="s">
        <v>386</v>
      </c>
      <c r="C3" s="4" t="s">
        <v>266</v>
      </c>
      <c r="D3" s="5">
        <v>16.86</v>
      </c>
      <c r="E3" s="4" t="s">
        <v>387</v>
      </c>
      <c r="F3" s="4" t="s">
        <v>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showGridLines="0" workbookViewId="0"/>
  </sheetViews>
  <sheetFormatPr defaultRowHeight="13.8"/>
  <cols>
    <col min="1" max="1" width="44" customWidth="1"/>
    <col min="2" max="2" width="8" customWidth="1"/>
  </cols>
  <sheetData>
    <row r="1" spans="1:2">
      <c r="A1" s="1" t="s">
        <v>389</v>
      </c>
      <c r="B1" s="1" t="s">
        <v>390</v>
      </c>
    </row>
    <row r="2" spans="1:2">
      <c r="A2" t="s">
        <v>391</v>
      </c>
      <c r="B2">
        <v>14</v>
      </c>
    </row>
    <row r="3" spans="1:2">
      <c r="A3" t="s">
        <v>392</v>
      </c>
      <c r="B3">
        <v>0.03</v>
      </c>
    </row>
    <row r="4" spans="1:2">
      <c r="A4" t="s">
        <v>393</v>
      </c>
      <c r="B4" s="6">
        <v>0.5</v>
      </c>
    </row>
    <row r="5" spans="1:2">
      <c r="A5" t="s">
        <v>394</v>
      </c>
      <c r="B5" s="6">
        <v>0.7</v>
      </c>
    </row>
    <row r="6" spans="1:2">
      <c r="A6" t="s">
        <v>395</v>
      </c>
      <c r="B6" s="6">
        <v>79.06</v>
      </c>
    </row>
    <row r="7" spans="1:2">
      <c r="A7" t="s">
        <v>396</v>
      </c>
      <c r="B7" s="6">
        <v>5903.65</v>
      </c>
    </row>
    <row r="8" spans="1:2">
      <c r="A8" s="1" t="s">
        <v>397</v>
      </c>
      <c r="B8" s="1" t="s">
        <v>398</v>
      </c>
    </row>
    <row r="9" spans="1:2">
      <c r="A9" t="s">
        <v>399</v>
      </c>
      <c r="B9" s="6">
        <f>B6/B2*30</f>
        <v>169.41428571428574</v>
      </c>
    </row>
    <row r="10" spans="1:2">
      <c r="A10" t="s">
        <v>400</v>
      </c>
      <c r="B10" s="6">
        <f>B9*B3</f>
        <v>5.0824285714285722</v>
      </c>
    </row>
    <row r="11" spans="1:2">
      <c r="A11" t="s">
        <v>401</v>
      </c>
      <c r="B11" s="6">
        <f>B9/1000*B4</f>
        <v>8.470714285714287E-2</v>
      </c>
    </row>
    <row r="12" spans="1:2">
      <c r="A12" t="s">
        <v>5</v>
      </c>
      <c r="B12" s="6">
        <f>B11*B5</f>
        <v>5.9295000000000007E-2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showGridLines="0" workbookViewId="0"/>
  </sheetViews>
  <sheetFormatPr defaultRowHeight="13.8"/>
  <cols>
    <col min="1" max="1" width="20" customWidth="1"/>
    <col min="2" max="2" width="80" customWidth="1"/>
  </cols>
  <sheetData>
    <row r="1" spans="1:2">
      <c r="A1" s="7" t="s">
        <v>402</v>
      </c>
      <c r="B1" s="7" t="s">
        <v>403</v>
      </c>
    </row>
    <row r="2" spans="1:2" ht="30" customHeight="1">
      <c r="A2" t="s">
        <v>404</v>
      </c>
      <c r="B2" t="s">
        <v>405</v>
      </c>
    </row>
    <row r="3" spans="1:2" ht="30" customHeight="1">
      <c r="A3" t="s">
        <v>406</v>
      </c>
      <c r="B3" t="s">
        <v>407</v>
      </c>
    </row>
    <row r="4" spans="1:2" ht="30" customHeight="1">
      <c r="A4" t="s">
        <v>408</v>
      </c>
      <c r="B4" t="s">
        <v>409</v>
      </c>
    </row>
    <row r="5" spans="1:2" ht="30" customHeight="1">
      <c r="A5" t="s">
        <v>410</v>
      </c>
      <c r="B5" t="s">
        <v>411</v>
      </c>
    </row>
    <row r="6" spans="1:2" ht="30" customHeight="1">
      <c r="A6" t="s">
        <v>412</v>
      </c>
      <c r="B6" t="s">
        <v>413</v>
      </c>
    </row>
    <row r="7" spans="1:2" ht="30" customHeight="1">
      <c r="A7" t="s">
        <v>414</v>
      </c>
      <c r="B7" t="s">
        <v>415</v>
      </c>
    </row>
    <row r="8" spans="1:2" ht="30" customHeight="1">
      <c r="A8" t="s">
        <v>416</v>
      </c>
      <c r="B8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Water Usage</vt:lpstr>
      <vt:lpstr>Daily Summary</vt:lpstr>
      <vt:lpstr>Source Summary</vt:lpstr>
      <vt:lpstr>Alerts</vt:lpstr>
      <vt:lpstr>Impact Calculations</vt:lpstr>
      <vt:lpstr>Power BI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Rajshree Surbhi</cp:lastModifiedBy>
  <dcterms:modified xsi:type="dcterms:W3CDTF">2026-07-19T07:25:04Z</dcterms:modified>
</cp:coreProperties>
</file>